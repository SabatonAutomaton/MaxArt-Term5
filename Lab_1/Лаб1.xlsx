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tyo\Downloads\"/>
    </mc:Choice>
  </mc:AlternateContent>
  <xr:revisionPtr revIDLastSave="0" documentId="13_ncr:1_{9924CECE-B911-4C7C-B50D-D5F83394468C}" xr6:coauthVersionLast="47" xr6:coauthVersionMax="47" xr10:uidLastSave="{00000000-0000-0000-0000-000000000000}"/>
  <bookViews>
    <workbookView xWindow="-28920" yWindow="5775" windowWidth="29040" windowHeight="16440" activeTab="1" xr2:uid="{D0F995C1-D0E6-4E56-86E8-1EC11FD3FC62}"/>
  </bookViews>
  <sheets>
    <sheet name="Квадрат" sheetId="1" r:id="rId1"/>
    <sheet name="Т" sheetId="2" r:id="rId2"/>
    <sheet name="Прямоугольник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0" i="2" l="1"/>
  <c r="A110" i="2"/>
  <c r="K107" i="2"/>
  <c r="H107" i="2"/>
  <c r="D107" i="2"/>
  <c r="A107" i="2"/>
  <c r="J64" i="2"/>
  <c r="M64" i="2"/>
  <c r="J65" i="2"/>
  <c r="M65" i="2"/>
  <c r="J66" i="2"/>
  <c r="M66" i="2"/>
  <c r="J67" i="2"/>
  <c r="M67" i="2"/>
  <c r="J68" i="2"/>
  <c r="M68" i="2"/>
  <c r="J69" i="2"/>
  <c r="M69" i="2"/>
  <c r="J70" i="2"/>
  <c r="M70" i="2"/>
  <c r="J71" i="2"/>
  <c r="M71" i="2"/>
  <c r="J72" i="2"/>
  <c r="M72" i="2"/>
  <c r="J73" i="2"/>
  <c r="M73" i="2"/>
  <c r="J74" i="2"/>
  <c r="M74" i="2"/>
  <c r="J75" i="2"/>
  <c r="M75" i="2"/>
  <c r="J76" i="2"/>
  <c r="M76" i="2"/>
  <c r="J77" i="2"/>
  <c r="M77" i="2"/>
  <c r="J78" i="2"/>
  <c r="M78" i="2"/>
  <c r="J79" i="2"/>
  <c r="M79" i="2"/>
  <c r="J80" i="2"/>
  <c r="M80" i="2"/>
  <c r="J81" i="2"/>
  <c r="M81" i="2"/>
  <c r="J82" i="2"/>
  <c r="M82" i="2"/>
  <c r="J83" i="2"/>
  <c r="M83" i="2"/>
  <c r="J84" i="2"/>
  <c r="M84" i="2"/>
  <c r="J85" i="2"/>
  <c r="M85" i="2"/>
  <c r="J86" i="2"/>
  <c r="M86" i="2"/>
  <c r="J87" i="2"/>
  <c r="M87" i="2"/>
  <c r="J88" i="2"/>
  <c r="M88" i="2"/>
  <c r="J89" i="2"/>
  <c r="M89" i="2"/>
  <c r="J90" i="2"/>
  <c r="M90" i="2"/>
  <c r="J91" i="2"/>
  <c r="M91" i="2"/>
  <c r="J92" i="2"/>
  <c r="M92" i="2"/>
  <c r="J93" i="2"/>
  <c r="M93" i="2"/>
  <c r="J94" i="2"/>
  <c r="M94" i="2"/>
  <c r="J95" i="2"/>
  <c r="M95" i="2"/>
  <c r="J96" i="2"/>
  <c r="M96" i="2"/>
  <c r="J97" i="2"/>
  <c r="M97" i="2"/>
  <c r="J98" i="2"/>
  <c r="M98" i="2"/>
  <c r="J99" i="2"/>
  <c r="M99" i="2"/>
  <c r="J100" i="2"/>
  <c r="M100" i="2"/>
  <c r="J101" i="2"/>
  <c r="M101" i="2"/>
  <c r="J102" i="2"/>
  <c r="M102" i="2"/>
  <c r="J103" i="2"/>
  <c r="M103" i="2"/>
  <c r="J104" i="2"/>
  <c r="M104" i="2"/>
  <c r="J105" i="2"/>
  <c r="M105" i="2"/>
  <c r="S14" i="3"/>
  <c r="S15" i="3"/>
  <c r="S16" i="3"/>
  <c r="S17" i="3"/>
  <c r="S18" i="3"/>
  <c r="S19" i="3"/>
  <c r="S20" i="3"/>
  <c r="O14" i="3"/>
  <c r="O15" i="3"/>
  <c r="O16" i="3"/>
  <c r="O17" i="3"/>
  <c r="O18" i="3"/>
  <c r="O19" i="3"/>
  <c r="O20" i="3"/>
  <c r="K36" i="3"/>
  <c r="K37" i="3"/>
  <c r="K38" i="3"/>
  <c r="K39" i="3"/>
  <c r="K40" i="3"/>
  <c r="K41" i="3"/>
  <c r="K42" i="3"/>
  <c r="G36" i="3"/>
  <c r="G37" i="3"/>
  <c r="G38" i="3"/>
  <c r="G39" i="3"/>
  <c r="G40" i="3"/>
  <c r="G41" i="3"/>
  <c r="G42" i="3"/>
  <c r="C36" i="3"/>
  <c r="C37" i="3"/>
  <c r="C38" i="3"/>
  <c r="C39" i="3"/>
  <c r="C40" i="3"/>
  <c r="C41" i="3"/>
  <c r="C42" i="3"/>
  <c r="K14" i="3"/>
  <c r="K15" i="3"/>
  <c r="K16" i="3"/>
  <c r="K17" i="3"/>
  <c r="K18" i="3"/>
  <c r="K19" i="3"/>
  <c r="K20" i="3"/>
  <c r="G14" i="3"/>
  <c r="G15" i="3"/>
  <c r="G16" i="3"/>
  <c r="G17" i="3"/>
  <c r="G18" i="3"/>
  <c r="G19" i="3"/>
  <c r="G20" i="3"/>
  <c r="C14" i="3"/>
  <c r="C15" i="3"/>
  <c r="C16" i="3"/>
  <c r="C17" i="3"/>
  <c r="C18" i="3"/>
  <c r="C19" i="3"/>
  <c r="C20" i="3"/>
  <c r="C27" i="3"/>
  <c r="G27" i="3"/>
  <c r="K27" i="3"/>
  <c r="O27" i="3"/>
  <c r="C28" i="3"/>
  <c r="G28" i="3"/>
  <c r="K28" i="3"/>
  <c r="O28" i="3"/>
  <c r="C29" i="3"/>
  <c r="G29" i="3"/>
  <c r="K29" i="3"/>
  <c r="O29" i="3"/>
  <c r="C30" i="3"/>
  <c r="G30" i="3"/>
  <c r="K30" i="3"/>
  <c r="O30" i="3"/>
  <c r="C31" i="3"/>
  <c r="G31" i="3"/>
  <c r="K31" i="3"/>
  <c r="O31" i="3"/>
  <c r="C32" i="3"/>
  <c r="G32" i="3"/>
  <c r="K32" i="3"/>
  <c r="O32" i="3"/>
  <c r="C33" i="3"/>
  <c r="G33" i="3"/>
  <c r="K33" i="3"/>
  <c r="O33" i="3"/>
  <c r="C34" i="3"/>
  <c r="G34" i="3"/>
  <c r="K34" i="3"/>
  <c r="O34" i="3"/>
  <c r="C35" i="3"/>
  <c r="G35" i="3"/>
  <c r="K35" i="3"/>
  <c r="O35" i="3"/>
  <c r="O36" i="3"/>
  <c r="O37" i="3"/>
  <c r="O38" i="3"/>
  <c r="O39" i="3"/>
  <c r="O40" i="3"/>
  <c r="O41" i="3"/>
  <c r="O42" i="3"/>
  <c r="S13" i="3"/>
  <c r="O13" i="3"/>
  <c r="K13" i="3"/>
  <c r="G13" i="3"/>
  <c r="C13" i="3"/>
  <c r="S12" i="3"/>
  <c r="O12" i="3"/>
  <c r="K12" i="3"/>
  <c r="G12" i="3"/>
  <c r="C12" i="3"/>
  <c r="S11" i="3"/>
  <c r="O11" i="3"/>
  <c r="K11" i="3"/>
  <c r="G11" i="3"/>
  <c r="C11" i="3"/>
  <c r="S10" i="3"/>
  <c r="O10" i="3"/>
  <c r="K10" i="3"/>
  <c r="G10" i="3"/>
  <c r="C10" i="3"/>
  <c r="S9" i="3"/>
  <c r="O9" i="3"/>
  <c r="K9" i="3"/>
  <c r="G9" i="3"/>
  <c r="C9" i="3"/>
  <c r="S8" i="3"/>
  <c r="O8" i="3"/>
  <c r="K8" i="3"/>
  <c r="G8" i="3"/>
  <c r="C8" i="3"/>
  <c r="S7" i="3"/>
  <c r="O7" i="3"/>
  <c r="K7" i="3"/>
  <c r="G7" i="3"/>
  <c r="C7" i="3"/>
  <c r="S6" i="3"/>
  <c r="O6" i="3"/>
  <c r="K6" i="3"/>
  <c r="G6" i="3"/>
  <c r="C6" i="3"/>
  <c r="S5" i="3"/>
  <c r="O5" i="3"/>
  <c r="K5" i="3"/>
  <c r="G5" i="3"/>
  <c r="C5" i="3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64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T15" i="2"/>
  <c r="M15" i="2"/>
  <c r="T14" i="2"/>
  <c r="M14" i="2"/>
  <c r="T13" i="2"/>
  <c r="M13" i="2"/>
  <c r="T12" i="2"/>
  <c r="M12" i="2"/>
  <c r="T11" i="2"/>
  <c r="M11" i="2"/>
  <c r="T10" i="2"/>
  <c r="M10" i="2"/>
  <c r="T9" i="2"/>
  <c r="M9" i="2"/>
  <c r="T8" i="2"/>
  <c r="M8" i="2"/>
  <c r="T7" i="2"/>
  <c r="M7" i="2"/>
  <c r="AA15" i="2"/>
  <c r="X15" i="2"/>
  <c r="Q15" i="2"/>
  <c r="J15" i="2"/>
  <c r="C15" i="2"/>
  <c r="AA14" i="2"/>
  <c r="X14" i="2"/>
  <c r="Q14" i="2"/>
  <c r="J14" i="2"/>
  <c r="C14" i="2"/>
  <c r="AA13" i="2"/>
  <c r="X13" i="2"/>
  <c r="Q13" i="2"/>
  <c r="J13" i="2"/>
  <c r="C13" i="2"/>
  <c r="AA12" i="2"/>
  <c r="X12" i="2"/>
  <c r="Q12" i="2"/>
  <c r="J12" i="2"/>
  <c r="C12" i="2"/>
  <c r="AA11" i="2"/>
  <c r="X11" i="2"/>
  <c r="Q11" i="2"/>
  <c r="J11" i="2"/>
  <c r="C11" i="2"/>
  <c r="AA10" i="2"/>
  <c r="X10" i="2"/>
  <c r="Q10" i="2"/>
  <c r="J10" i="2"/>
  <c r="C10" i="2"/>
  <c r="AA9" i="2"/>
  <c r="X9" i="2"/>
  <c r="Q9" i="2"/>
  <c r="J9" i="2"/>
  <c r="C9" i="2"/>
  <c r="AA8" i="2"/>
  <c r="X8" i="2"/>
  <c r="Q8" i="2"/>
  <c r="J8" i="2"/>
  <c r="C8" i="2"/>
  <c r="AA7" i="2"/>
  <c r="X7" i="2"/>
  <c r="Q7" i="2"/>
  <c r="J7" i="2"/>
  <c r="C7" i="2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21" i="1"/>
  <c r="O22" i="1"/>
  <c r="O23" i="1"/>
  <c r="O24" i="1"/>
  <c r="O25" i="1"/>
  <c r="O26" i="1"/>
  <c r="O27" i="1"/>
  <c r="O28" i="1"/>
  <c r="O29" i="1"/>
  <c r="S15" i="1"/>
  <c r="S14" i="1"/>
  <c r="S13" i="1"/>
  <c r="S12" i="1"/>
  <c r="S11" i="1"/>
  <c r="S10" i="1"/>
  <c r="S9" i="1"/>
  <c r="S8" i="1"/>
  <c r="S7" i="1"/>
  <c r="O8" i="1"/>
  <c r="O9" i="1"/>
  <c r="O10" i="1"/>
  <c r="O11" i="1"/>
  <c r="O12" i="1"/>
  <c r="O13" i="1"/>
  <c r="O14" i="1"/>
  <c r="O15" i="1"/>
  <c r="K22" i="1"/>
  <c r="K23" i="1"/>
  <c r="K24" i="1"/>
  <c r="K25" i="1"/>
  <c r="K26" i="1"/>
  <c r="K27" i="1"/>
  <c r="K28" i="1"/>
  <c r="K29" i="1"/>
  <c r="K8" i="1"/>
  <c r="K9" i="1"/>
  <c r="K10" i="1"/>
  <c r="K11" i="1"/>
  <c r="K12" i="1"/>
  <c r="K13" i="1"/>
  <c r="K14" i="1"/>
  <c r="K15" i="1"/>
  <c r="G22" i="1"/>
  <c r="G23" i="1"/>
  <c r="G24" i="1"/>
  <c r="G25" i="1"/>
  <c r="G26" i="1"/>
  <c r="G27" i="1"/>
  <c r="G28" i="1"/>
  <c r="G29" i="1"/>
  <c r="G8" i="1"/>
  <c r="G9" i="1"/>
  <c r="G10" i="1"/>
  <c r="G11" i="1"/>
  <c r="G12" i="1"/>
  <c r="G13" i="1"/>
  <c r="G14" i="1"/>
  <c r="G15" i="1"/>
  <c r="C29" i="1"/>
  <c r="C28" i="1"/>
  <c r="C27" i="1"/>
  <c r="C26" i="1"/>
  <c r="C25" i="1"/>
  <c r="C24" i="1"/>
  <c r="C23" i="1"/>
  <c r="C22" i="1"/>
  <c r="C21" i="1"/>
  <c r="C12" i="1"/>
  <c r="C13" i="1"/>
  <c r="C14" i="1"/>
  <c r="C15" i="1"/>
  <c r="O7" i="1"/>
  <c r="K21" i="1"/>
  <c r="K7" i="1"/>
  <c r="G21" i="1"/>
  <c r="G7" i="1"/>
  <c r="C11" i="1"/>
  <c r="C8" i="1"/>
  <c r="C9" i="1"/>
  <c r="C10" i="1"/>
  <c r="C7" i="1"/>
</calcChain>
</file>

<file path=xl/sharedStrings.xml><?xml version="1.0" encoding="utf-8"?>
<sst xmlns="http://schemas.openxmlformats.org/spreadsheetml/2006/main" count="186" uniqueCount="19">
  <si>
    <t>u</t>
  </si>
  <si>
    <t>u*</t>
  </si>
  <si>
    <t>|u-u*|</t>
  </si>
  <si>
    <t>Сетка: Прямоугольник. Тип: Равномерная</t>
  </si>
  <si>
    <t>Краевые 1-го порядка</t>
  </si>
  <si>
    <t>Краевые 2-го порядка справа, остальные 1-го</t>
  </si>
  <si>
    <t>u = 1, f = u</t>
  </si>
  <si>
    <t>u = x + y, f = u</t>
  </si>
  <si>
    <t>u = x + y, f  = u</t>
  </si>
  <si>
    <t>u = x^2 + y^2, f = u - 4</t>
  </si>
  <si>
    <t>u = x^3 + y^3, f = u - 6*(x+y)</t>
  </si>
  <si>
    <t>u = x^4 + y^4, f = u - 12*(x*x+y*y)</t>
  </si>
  <si>
    <t>Краевые 2-го порядка сверху, остальные 1-го</t>
  </si>
  <si>
    <t>u = sin(y/8), f = u + sin(y/8)/64</t>
  </si>
  <si>
    <t>h</t>
  </si>
  <si>
    <t>h/2</t>
  </si>
  <si>
    <t>Сетка: Прямоугольник. Тип: Неравномерная</t>
  </si>
  <si>
    <t>u-u*</t>
  </si>
  <si>
    <t>||u-u*||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</si>
</sst>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"/>
  </numFmts>
  <fonts count="2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1" fontId="0" fillId="0" borderId="5" xfId="0" applyNumberFormat="1" applyBorder="1" applyAlignment="1">
      <alignment horizontal="center"/>
    </xf>
    <xf numFmtId="0" fontId="0" fillId="0" borderId="0" xfId="0" applyBorder="1"/>
    <xf numFmtId="11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1" fontId="1" fillId="0" borderId="1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4FA05-08A3-4B06-9CE4-90E3D50E915C}">
  <dimension ref="A1:AE45"/>
  <sheetViews>
    <sheetView topLeftCell="B2" zoomScale="85" zoomScaleNormal="85" workbookViewId="0">
      <selection activeCell="U29" sqref="U29"/>
    </sheetView>
  </sheetViews>
  <sheetFormatPr defaultRowHeight="15" x14ac:dyDescent="0.25"/>
  <cols>
    <col min="1" max="2" width="19.85546875" style="5" bestFit="1" customWidth="1"/>
    <col min="3" max="3" width="9" style="3" bestFit="1" customWidth="1"/>
    <col min="4" max="4" width="9.140625" style="9"/>
    <col min="5" max="6" width="19.85546875" style="5" bestFit="1" customWidth="1"/>
    <col min="7" max="7" width="9" style="3" bestFit="1" customWidth="1"/>
    <col min="8" max="8" width="9.140625" style="2"/>
    <col min="9" max="10" width="20.85546875" style="5" bestFit="1" customWidth="1"/>
    <col min="11" max="11" width="9" style="3" bestFit="1" customWidth="1"/>
    <col min="12" max="12" width="9.140625" style="2"/>
    <col min="13" max="14" width="20.85546875" style="5" bestFit="1" customWidth="1"/>
    <col min="15" max="15" width="9" style="3" bestFit="1" customWidth="1"/>
    <col min="16" max="16" width="9.140625" style="9"/>
    <col min="17" max="18" width="22" style="5" bestFit="1" customWidth="1"/>
    <col min="19" max="19" width="8.42578125" style="3" bestFit="1" customWidth="1"/>
    <col min="20" max="20" width="9.140625" style="2"/>
    <col min="21" max="22" width="19.85546875" style="5" bestFit="1" customWidth="1"/>
    <col min="23" max="23" width="8.5703125" style="3" bestFit="1" customWidth="1"/>
    <col min="24" max="24" width="9.140625" style="2"/>
    <col min="25" max="26" width="19.85546875" style="5" bestFit="1" customWidth="1"/>
    <col min="27" max="27" width="8.5703125" style="3" bestFit="1" customWidth="1"/>
    <col min="28" max="28" width="9.140625" style="2"/>
    <col min="29" max="30" width="20.85546875" style="5" bestFit="1" customWidth="1"/>
    <col min="31" max="31" width="8.28515625" style="3" bestFit="1" customWidth="1"/>
    <col min="32" max="16384" width="9.140625" style="2"/>
  </cols>
  <sheetData>
    <row r="1" spans="1:31" x14ac:dyDescent="0.25">
      <c r="D1" s="2"/>
      <c r="P1" s="2"/>
    </row>
    <row r="2" spans="1:31" x14ac:dyDescent="0.25">
      <c r="D2" s="2"/>
      <c r="P2" s="2"/>
    </row>
    <row r="3" spans="1:31" x14ac:dyDescent="0.25">
      <c r="A3" s="13" t="s">
        <v>6</v>
      </c>
      <c r="B3" s="14"/>
      <c r="C3" s="15"/>
      <c r="D3" s="2"/>
      <c r="E3" s="13" t="s">
        <v>7</v>
      </c>
      <c r="F3" s="14"/>
      <c r="G3" s="15"/>
      <c r="I3" s="16" t="s">
        <v>9</v>
      </c>
      <c r="J3" s="16"/>
      <c r="K3" s="16"/>
      <c r="M3" s="13" t="s">
        <v>10</v>
      </c>
      <c r="N3" s="14"/>
      <c r="O3" s="15"/>
      <c r="P3" s="2"/>
      <c r="Q3" s="13" t="s">
        <v>11</v>
      </c>
      <c r="R3" s="14"/>
      <c r="S3" s="15"/>
      <c r="U3" s="2"/>
      <c r="V3" s="2"/>
      <c r="W3" s="2"/>
      <c r="Y3" s="2"/>
      <c r="Z3" s="2"/>
      <c r="AA3" s="2"/>
      <c r="AC3" s="2"/>
      <c r="AD3" s="2"/>
      <c r="AE3" s="2"/>
    </row>
    <row r="4" spans="1:31" s="1" customFormat="1" x14ac:dyDescent="0.25">
      <c r="A4" s="13" t="s">
        <v>3</v>
      </c>
      <c r="B4" s="14"/>
      <c r="C4" s="15"/>
      <c r="E4" s="13" t="s">
        <v>3</v>
      </c>
      <c r="F4" s="14"/>
      <c r="G4" s="15"/>
      <c r="I4" s="13" t="s">
        <v>3</v>
      </c>
      <c r="J4" s="14"/>
      <c r="K4" s="15"/>
      <c r="M4" s="13" t="s">
        <v>3</v>
      </c>
      <c r="N4" s="14"/>
      <c r="O4" s="15"/>
      <c r="Q4" s="13" t="s">
        <v>3</v>
      </c>
      <c r="R4" s="14"/>
      <c r="S4" s="15"/>
    </row>
    <row r="5" spans="1:31" s="1" customFormat="1" x14ac:dyDescent="0.25">
      <c r="A5" s="13" t="s">
        <v>4</v>
      </c>
      <c r="B5" s="14"/>
      <c r="C5" s="15"/>
      <c r="D5"/>
      <c r="E5" s="13" t="s">
        <v>4</v>
      </c>
      <c r="F5" s="14"/>
      <c r="G5" s="15"/>
      <c r="I5" s="13" t="s">
        <v>4</v>
      </c>
      <c r="J5" s="14"/>
      <c r="K5" s="15"/>
      <c r="M5" s="13" t="s">
        <v>4</v>
      </c>
      <c r="N5" s="14"/>
      <c r="O5" s="15"/>
      <c r="P5"/>
      <c r="Q5" s="13" t="s">
        <v>4</v>
      </c>
      <c r="R5" s="14"/>
      <c r="S5" s="15"/>
    </row>
    <row r="6" spans="1:31" s="1" customFormat="1" x14ac:dyDescent="0.25">
      <c r="A6" s="6" t="s">
        <v>0</v>
      </c>
      <c r="B6" s="6" t="s">
        <v>1</v>
      </c>
      <c r="C6" s="4" t="s">
        <v>2</v>
      </c>
      <c r="D6"/>
      <c r="E6" s="6" t="s">
        <v>0</v>
      </c>
      <c r="F6" s="6" t="s">
        <v>1</v>
      </c>
      <c r="G6" s="4" t="s">
        <v>2</v>
      </c>
      <c r="I6" s="6" t="s">
        <v>0</v>
      </c>
      <c r="J6" s="6" t="s">
        <v>1</v>
      </c>
      <c r="K6" s="4" t="s">
        <v>2</v>
      </c>
      <c r="M6" s="6" t="s">
        <v>0</v>
      </c>
      <c r="N6" s="6" t="s">
        <v>1</v>
      </c>
      <c r="O6" s="4" t="s">
        <v>2</v>
      </c>
      <c r="P6"/>
      <c r="Q6" s="6" t="s">
        <v>0</v>
      </c>
      <c r="R6" s="6" t="s">
        <v>1</v>
      </c>
      <c r="S6" s="4" t="s">
        <v>2</v>
      </c>
    </row>
    <row r="7" spans="1:31" s="1" customFormat="1" x14ac:dyDescent="0.25">
      <c r="A7" s="6">
        <v>1</v>
      </c>
      <c r="B7" s="6">
        <v>1</v>
      </c>
      <c r="C7" s="4">
        <f>ABS(A7-B7)</f>
        <v>0</v>
      </c>
      <c r="D7"/>
      <c r="E7" s="6">
        <v>2</v>
      </c>
      <c r="F7" s="6">
        <v>2</v>
      </c>
      <c r="G7" s="4">
        <f>ABS(E7-F7)</f>
        <v>0</v>
      </c>
      <c r="I7" s="6">
        <v>2</v>
      </c>
      <c r="J7" s="6">
        <v>2</v>
      </c>
      <c r="K7" s="4">
        <f>ABS(I7-J7)</f>
        <v>0</v>
      </c>
      <c r="M7" s="6">
        <v>2</v>
      </c>
      <c r="N7" s="6">
        <v>2</v>
      </c>
      <c r="O7" s="4">
        <f>ABS(M7-N7)</f>
        <v>0</v>
      </c>
      <c r="P7"/>
      <c r="Q7" s="6">
        <v>2</v>
      </c>
      <c r="R7" s="6">
        <v>2</v>
      </c>
      <c r="S7" s="4">
        <f>ABS(Q7-R7)</f>
        <v>0</v>
      </c>
    </row>
    <row r="8" spans="1:31" s="1" customFormat="1" x14ac:dyDescent="0.25">
      <c r="A8" s="6">
        <v>1</v>
      </c>
      <c r="B8" s="6">
        <v>1</v>
      </c>
      <c r="C8" s="4">
        <f t="shared" ref="C8:C10" si="0">ABS(A8-B8)</f>
        <v>0</v>
      </c>
      <c r="D8"/>
      <c r="E8" s="6">
        <v>3</v>
      </c>
      <c r="F8" s="6">
        <v>3</v>
      </c>
      <c r="G8" s="4">
        <f t="shared" ref="G8:G15" si="1">ABS(E8-F8)</f>
        <v>0</v>
      </c>
      <c r="I8" s="6">
        <v>5</v>
      </c>
      <c r="J8" s="6">
        <v>5</v>
      </c>
      <c r="K8" s="4">
        <f t="shared" ref="K8:K15" si="2">ABS(I8-J8)</f>
        <v>0</v>
      </c>
      <c r="M8" s="6">
        <v>9</v>
      </c>
      <c r="N8" s="6">
        <v>9</v>
      </c>
      <c r="O8" s="4">
        <f t="shared" ref="O8:O15" si="3">ABS(M8-N8)</f>
        <v>0</v>
      </c>
      <c r="P8"/>
      <c r="Q8" s="6">
        <v>17</v>
      </c>
      <c r="R8" s="6">
        <v>17</v>
      </c>
      <c r="S8" s="4">
        <f t="shared" ref="S8:S15" si="4">ABS(Q8-R8)</f>
        <v>0</v>
      </c>
    </row>
    <row r="9" spans="1:31" s="1" customFormat="1" x14ac:dyDescent="0.25">
      <c r="A9" s="6">
        <v>1</v>
      </c>
      <c r="B9" s="6">
        <v>1</v>
      </c>
      <c r="C9" s="4">
        <f t="shared" si="0"/>
        <v>0</v>
      </c>
      <c r="D9"/>
      <c r="E9" s="6">
        <v>4</v>
      </c>
      <c r="F9" s="6">
        <v>4</v>
      </c>
      <c r="G9" s="4">
        <f t="shared" si="1"/>
        <v>0</v>
      </c>
      <c r="I9" s="6">
        <v>10</v>
      </c>
      <c r="J9" s="6">
        <v>10</v>
      </c>
      <c r="K9" s="4">
        <f t="shared" si="2"/>
        <v>0</v>
      </c>
      <c r="M9" s="6">
        <v>28</v>
      </c>
      <c r="N9" s="6">
        <v>28</v>
      </c>
      <c r="O9" s="4">
        <f t="shared" si="3"/>
        <v>0</v>
      </c>
      <c r="P9"/>
      <c r="Q9" s="6">
        <v>82</v>
      </c>
      <c r="R9" s="6">
        <v>82</v>
      </c>
      <c r="S9" s="4">
        <f t="shared" si="4"/>
        <v>0</v>
      </c>
    </row>
    <row r="10" spans="1:31" s="1" customFormat="1" x14ac:dyDescent="0.25">
      <c r="A10" s="6">
        <v>1</v>
      </c>
      <c r="B10" s="6">
        <v>1</v>
      </c>
      <c r="C10" s="4">
        <f t="shared" si="0"/>
        <v>0</v>
      </c>
      <c r="D10"/>
      <c r="E10" s="6">
        <v>3</v>
      </c>
      <c r="F10" s="6">
        <v>3</v>
      </c>
      <c r="G10" s="4">
        <f t="shared" si="1"/>
        <v>0</v>
      </c>
      <c r="I10" s="6">
        <v>5</v>
      </c>
      <c r="J10" s="6">
        <v>5</v>
      </c>
      <c r="K10" s="4">
        <f t="shared" si="2"/>
        <v>0</v>
      </c>
      <c r="M10" s="6">
        <v>9</v>
      </c>
      <c r="N10" s="6">
        <v>9</v>
      </c>
      <c r="O10" s="4">
        <f t="shared" si="3"/>
        <v>0</v>
      </c>
      <c r="P10"/>
      <c r="Q10" s="6">
        <v>17</v>
      </c>
      <c r="R10" s="6">
        <v>17</v>
      </c>
      <c r="S10" s="4">
        <f t="shared" si="4"/>
        <v>0</v>
      </c>
    </row>
    <row r="11" spans="1:31" s="1" customFormat="1" x14ac:dyDescent="0.25">
      <c r="A11" s="6">
        <v>1</v>
      </c>
      <c r="B11" s="6">
        <v>1</v>
      </c>
      <c r="C11" s="4">
        <f>ABS(A11-B11)</f>
        <v>0</v>
      </c>
      <c r="D11"/>
      <c r="E11" s="6">
        <v>4</v>
      </c>
      <c r="F11" s="6">
        <v>4</v>
      </c>
      <c r="G11" s="4">
        <f t="shared" si="1"/>
        <v>0</v>
      </c>
      <c r="I11" s="6">
        <v>8</v>
      </c>
      <c r="J11" s="6">
        <v>8</v>
      </c>
      <c r="K11" s="4">
        <f t="shared" si="2"/>
        <v>0</v>
      </c>
      <c r="M11" s="6">
        <v>16</v>
      </c>
      <c r="N11" s="6">
        <v>16</v>
      </c>
      <c r="O11" s="4">
        <f t="shared" si="3"/>
        <v>0</v>
      </c>
      <c r="P11"/>
      <c r="Q11" s="6">
        <v>32.799999999999898</v>
      </c>
      <c r="R11" s="6">
        <v>32</v>
      </c>
      <c r="S11" s="4">
        <f t="shared" si="4"/>
        <v>0.79999999999989768</v>
      </c>
    </row>
    <row r="12" spans="1:31" s="1" customFormat="1" x14ac:dyDescent="0.25">
      <c r="A12" s="6">
        <v>1</v>
      </c>
      <c r="B12" s="6">
        <v>1</v>
      </c>
      <c r="C12" s="4">
        <f t="shared" ref="C12:C15" si="5">ABS(A12-B12)</f>
        <v>0</v>
      </c>
      <c r="D12"/>
      <c r="E12" s="6">
        <v>5</v>
      </c>
      <c r="F12" s="6">
        <v>5</v>
      </c>
      <c r="G12" s="4">
        <f t="shared" si="1"/>
        <v>0</v>
      </c>
      <c r="I12" s="6">
        <v>13</v>
      </c>
      <c r="J12" s="6">
        <v>13</v>
      </c>
      <c r="K12" s="4">
        <f t="shared" si="2"/>
        <v>0</v>
      </c>
      <c r="M12" s="6">
        <v>35</v>
      </c>
      <c r="N12" s="6">
        <v>35</v>
      </c>
      <c r="O12" s="4">
        <f t="shared" si="3"/>
        <v>0</v>
      </c>
      <c r="P12"/>
      <c r="Q12" s="6">
        <v>97</v>
      </c>
      <c r="R12" s="6">
        <v>97</v>
      </c>
      <c r="S12" s="4">
        <f t="shared" si="4"/>
        <v>0</v>
      </c>
    </row>
    <row r="13" spans="1:31" s="1" customFormat="1" x14ac:dyDescent="0.25">
      <c r="A13" s="6">
        <v>1</v>
      </c>
      <c r="B13" s="6">
        <v>1</v>
      </c>
      <c r="C13" s="4">
        <f t="shared" si="5"/>
        <v>0</v>
      </c>
      <c r="D13"/>
      <c r="E13" s="6">
        <v>4</v>
      </c>
      <c r="F13" s="6">
        <v>4</v>
      </c>
      <c r="G13" s="4">
        <f t="shared" si="1"/>
        <v>0</v>
      </c>
      <c r="I13" s="6">
        <v>10</v>
      </c>
      <c r="J13" s="6">
        <v>10</v>
      </c>
      <c r="K13" s="4">
        <f t="shared" si="2"/>
        <v>0</v>
      </c>
      <c r="M13" s="6">
        <v>28</v>
      </c>
      <c r="N13" s="6">
        <v>28</v>
      </c>
      <c r="O13" s="4">
        <f t="shared" si="3"/>
        <v>0</v>
      </c>
      <c r="P13"/>
      <c r="Q13" s="6">
        <v>82</v>
      </c>
      <c r="R13" s="6">
        <v>82</v>
      </c>
      <c r="S13" s="4">
        <f t="shared" si="4"/>
        <v>0</v>
      </c>
    </row>
    <row r="14" spans="1:31" s="1" customFormat="1" x14ac:dyDescent="0.25">
      <c r="A14" s="6">
        <v>1</v>
      </c>
      <c r="B14" s="6">
        <v>1</v>
      </c>
      <c r="C14" s="4">
        <f t="shared" si="5"/>
        <v>0</v>
      </c>
      <c r="D14"/>
      <c r="E14" s="6">
        <v>5</v>
      </c>
      <c r="F14" s="6">
        <v>5</v>
      </c>
      <c r="G14" s="4">
        <f t="shared" si="1"/>
        <v>0</v>
      </c>
      <c r="I14" s="6">
        <v>13</v>
      </c>
      <c r="J14" s="6">
        <v>13</v>
      </c>
      <c r="K14" s="4">
        <f t="shared" si="2"/>
        <v>0</v>
      </c>
      <c r="M14" s="6">
        <v>35</v>
      </c>
      <c r="N14" s="6">
        <v>35</v>
      </c>
      <c r="O14" s="4">
        <f t="shared" si="3"/>
        <v>0</v>
      </c>
      <c r="P14"/>
      <c r="Q14" s="6">
        <v>97</v>
      </c>
      <c r="R14" s="6">
        <v>97</v>
      </c>
      <c r="S14" s="4">
        <f t="shared" si="4"/>
        <v>0</v>
      </c>
    </row>
    <row r="15" spans="1:31" s="1" customFormat="1" x14ac:dyDescent="0.25">
      <c r="A15" s="6">
        <v>1</v>
      </c>
      <c r="B15" s="6">
        <v>1</v>
      </c>
      <c r="C15" s="4">
        <f t="shared" si="5"/>
        <v>0</v>
      </c>
      <c r="D15"/>
      <c r="E15" s="6">
        <v>6</v>
      </c>
      <c r="F15" s="6">
        <v>6</v>
      </c>
      <c r="G15" s="4">
        <f t="shared" si="1"/>
        <v>0</v>
      </c>
      <c r="I15" s="6">
        <v>18</v>
      </c>
      <c r="J15" s="6">
        <v>18</v>
      </c>
      <c r="K15" s="4">
        <f t="shared" si="2"/>
        <v>0</v>
      </c>
      <c r="M15" s="6">
        <v>54</v>
      </c>
      <c r="N15" s="6">
        <v>54</v>
      </c>
      <c r="O15" s="4">
        <f t="shared" si="3"/>
        <v>0</v>
      </c>
      <c r="P15"/>
      <c r="Q15" s="6">
        <v>162</v>
      </c>
      <c r="R15" s="6">
        <v>162</v>
      </c>
      <c r="S15" s="4">
        <f t="shared" si="4"/>
        <v>0</v>
      </c>
    </row>
    <row r="17" spans="1:15" x14ac:dyDescent="0.25">
      <c r="A17" s="13" t="s">
        <v>6</v>
      </c>
      <c r="B17" s="14"/>
      <c r="C17" s="15"/>
      <c r="E17" s="13" t="s">
        <v>8</v>
      </c>
      <c r="F17" s="14"/>
      <c r="G17" s="15"/>
      <c r="I17" s="13" t="s">
        <v>9</v>
      </c>
      <c r="J17" s="14"/>
      <c r="K17" s="15"/>
      <c r="M17" s="13" t="s">
        <v>9</v>
      </c>
      <c r="N17" s="14"/>
      <c r="O17" s="15"/>
    </row>
    <row r="18" spans="1:15" x14ac:dyDescent="0.25">
      <c r="A18" s="13" t="s">
        <v>3</v>
      </c>
      <c r="B18" s="14"/>
      <c r="C18" s="15"/>
      <c r="E18" s="13" t="s">
        <v>3</v>
      </c>
      <c r="F18" s="14"/>
      <c r="G18" s="15"/>
      <c r="I18" s="13" t="s">
        <v>3</v>
      </c>
      <c r="J18" s="14"/>
      <c r="K18" s="15"/>
      <c r="M18" s="13" t="s">
        <v>3</v>
      </c>
      <c r="N18" s="14"/>
      <c r="O18" s="15"/>
    </row>
    <row r="19" spans="1:15" x14ac:dyDescent="0.25">
      <c r="A19" s="13" t="s">
        <v>5</v>
      </c>
      <c r="B19" s="14"/>
      <c r="C19" s="15"/>
      <c r="E19" s="13" t="s">
        <v>5</v>
      </c>
      <c r="F19" s="14"/>
      <c r="G19" s="15"/>
      <c r="I19" s="13" t="s">
        <v>5</v>
      </c>
      <c r="J19" s="14"/>
      <c r="K19" s="15"/>
      <c r="M19" s="13" t="s">
        <v>5</v>
      </c>
      <c r="N19" s="14"/>
      <c r="O19" s="15"/>
    </row>
    <row r="20" spans="1:15" x14ac:dyDescent="0.25">
      <c r="A20" s="6" t="s">
        <v>0</v>
      </c>
      <c r="B20" s="6" t="s">
        <v>1</v>
      </c>
      <c r="C20" s="4" t="s">
        <v>2</v>
      </c>
      <c r="E20" s="6" t="s">
        <v>0</v>
      </c>
      <c r="F20" s="6" t="s">
        <v>1</v>
      </c>
      <c r="G20" s="4" t="s">
        <v>2</v>
      </c>
      <c r="I20" s="6" t="s">
        <v>0</v>
      </c>
      <c r="J20" s="6" t="s">
        <v>1</v>
      </c>
      <c r="K20" s="4" t="s">
        <v>2</v>
      </c>
      <c r="M20" s="6" t="s">
        <v>0</v>
      </c>
      <c r="N20" s="6" t="s">
        <v>1</v>
      </c>
      <c r="O20" s="4" t="s">
        <v>2</v>
      </c>
    </row>
    <row r="21" spans="1:15" x14ac:dyDescent="0.25">
      <c r="A21" s="6">
        <v>1</v>
      </c>
      <c r="B21" s="6">
        <v>1</v>
      </c>
      <c r="C21" s="4">
        <f t="shared" ref="C21:C29" si="6">ABS(A21-B21)</f>
        <v>0</v>
      </c>
      <c r="E21" s="6">
        <v>2</v>
      </c>
      <c r="F21" s="6">
        <v>2</v>
      </c>
      <c r="G21" s="4">
        <f>ABS(E21-F21)</f>
        <v>0</v>
      </c>
      <c r="I21" s="6">
        <v>2</v>
      </c>
      <c r="J21" s="6">
        <v>2</v>
      </c>
      <c r="K21" s="4">
        <f>ABS(I21-J21)</f>
        <v>0</v>
      </c>
      <c r="M21" s="6">
        <v>2</v>
      </c>
      <c r="N21" s="6">
        <v>2</v>
      </c>
      <c r="O21" s="10">
        <f>ABS(M21-N21)</f>
        <v>0</v>
      </c>
    </row>
    <row r="22" spans="1:15" x14ac:dyDescent="0.25">
      <c r="A22" s="6">
        <v>1</v>
      </c>
      <c r="B22" s="6">
        <v>1</v>
      </c>
      <c r="C22" s="4">
        <f t="shared" si="6"/>
        <v>0</v>
      </c>
      <c r="E22" s="6">
        <v>3</v>
      </c>
      <c r="F22" s="6">
        <v>3</v>
      </c>
      <c r="G22" s="4">
        <f t="shared" ref="G22:G29" si="7">ABS(E22-F22)</f>
        <v>0</v>
      </c>
      <c r="I22" s="6">
        <v>5</v>
      </c>
      <c r="J22" s="6">
        <v>5</v>
      </c>
      <c r="K22" s="4">
        <f t="shared" ref="K22:K29" si="8">ABS(I22-J22)</f>
        <v>0</v>
      </c>
      <c r="M22" s="6">
        <v>3.25</v>
      </c>
      <c r="N22" s="6">
        <v>3.25</v>
      </c>
      <c r="O22" s="10">
        <f t="shared" ref="O22:O45" si="9">ABS(M22-N22)</f>
        <v>0</v>
      </c>
    </row>
    <row r="23" spans="1:15" x14ac:dyDescent="0.25">
      <c r="A23" s="6">
        <v>1</v>
      </c>
      <c r="B23" s="6">
        <v>1</v>
      </c>
      <c r="C23" s="4">
        <f t="shared" si="6"/>
        <v>0</v>
      </c>
      <c r="E23" s="6">
        <v>4</v>
      </c>
      <c r="F23" s="6">
        <v>4</v>
      </c>
      <c r="G23" s="4">
        <f t="shared" si="7"/>
        <v>0</v>
      </c>
      <c r="I23" s="6">
        <v>10</v>
      </c>
      <c r="J23" s="6">
        <v>10</v>
      </c>
      <c r="K23" s="4">
        <f t="shared" si="8"/>
        <v>0</v>
      </c>
      <c r="M23" s="6">
        <v>5</v>
      </c>
      <c r="N23" s="6">
        <v>5</v>
      </c>
      <c r="O23" s="10">
        <f t="shared" si="9"/>
        <v>0</v>
      </c>
    </row>
    <row r="24" spans="1:15" x14ac:dyDescent="0.25">
      <c r="A24" s="6">
        <v>1</v>
      </c>
      <c r="B24" s="6">
        <v>1</v>
      </c>
      <c r="C24" s="4">
        <f t="shared" si="6"/>
        <v>0</v>
      </c>
      <c r="E24" s="6">
        <v>3</v>
      </c>
      <c r="F24" s="6">
        <v>3</v>
      </c>
      <c r="G24" s="4">
        <f t="shared" si="7"/>
        <v>0</v>
      </c>
      <c r="I24" s="6">
        <v>5</v>
      </c>
      <c r="J24" s="6">
        <v>5</v>
      </c>
      <c r="K24" s="4">
        <f t="shared" si="8"/>
        <v>0</v>
      </c>
      <c r="M24" s="6">
        <v>7.25</v>
      </c>
      <c r="N24" s="6">
        <v>7.25</v>
      </c>
      <c r="O24" s="10">
        <f t="shared" si="9"/>
        <v>0</v>
      </c>
    </row>
    <row r="25" spans="1:15" x14ac:dyDescent="0.25">
      <c r="A25" s="6">
        <v>1</v>
      </c>
      <c r="B25" s="6">
        <v>1</v>
      </c>
      <c r="C25" s="4">
        <f t="shared" si="6"/>
        <v>0</v>
      </c>
      <c r="E25" s="6">
        <v>4</v>
      </c>
      <c r="F25" s="6">
        <v>4</v>
      </c>
      <c r="G25" s="4">
        <f t="shared" si="7"/>
        <v>0</v>
      </c>
      <c r="I25" s="6">
        <v>8.25</v>
      </c>
      <c r="J25" s="6">
        <v>8</v>
      </c>
      <c r="K25" s="4">
        <f t="shared" si="8"/>
        <v>0.25</v>
      </c>
      <c r="M25" s="6">
        <v>10</v>
      </c>
      <c r="N25" s="6">
        <v>10</v>
      </c>
      <c r="O25" s="10">
        <f t="shared" si="9"/>
        <v>0</v>
      </c>
    </row>
    <row r="26" spans="1:15" x14ac:dyDescent="0.25">
      <c r="A26" s="6">
        <v>1</v>
      </c>
      <c r="B26" s="6">
        <v>1</v>
      </c>
      <c r="C26" s="4">
        <f t="shared" si="6"/>
        <v>0</v>
      </c>
      <c r="E26" s="6">
        <v>5</v>
      </c>
      <c r="F26" s="6">
        <v>5</v>
      </c>
      <c r="G26" s="4">
        <f t="shared" si="7"/>
        <v>0</v>
      </c>
      <c r="I26" s="6">
        <v>14.25</v>
      </c>
      <c r="J26" s="6">
        <v>13</v>
      </c>
      <c r="K26" s="4">
        <f t="shared" si="8"/>
        <v>1.25</v>
      </c>
      <c r="M26" s="6">
        <v>3.25</v>
      </c>
      <c r="N26" s="6">
        <v>3.25</v>
      </c>
      <c r="O26" s="10">
        <f t="shared" si="9"/>
        <v>0</v>
      </c>
    </row>
    <row r="27" spans="1:15" x14ac:dyDescent="0.25">
      <c r="A27" s="6">
        <v>1</v>
      </c>
      <c r="B27" s="6">
        <v>1</v>
      </c>
      <c r="C27" s="4">
        <f t="shared" si="6"/>
        <v>0</v>
      </c>
      <c r="E27" s="6">
        <v>4</v>
      </c>
      <c r="F27" s="6">
        <v>4</v>
      </c>
      <c r="G27" s="4">
        <f t="shared" si="7"/>
        <v>0</v>
      </c>
      <c r="I27" s="6">
        <v>10</v>
      </c>
      <c r="J27" s="6">
        <v>10</v>
      </c>
      <c r="K27" s="4">
        <f t="shared" si="8"/>
        <v>0</v>
      </c>
      <c r="M27" s="6">
        <v>4.5214086911853499</v>
      </c>
      <c r="N27" s="6">
        <v>4.5</v>
      </c>
      <c r="O27" s="10">
        <f t="shared" si="9"/>
        <v>2.1408691185349937E-2</v>
      </c>
    </row>
    <row r="28" spans="1:15" x14ac:dyDescent="0.25">
      <c r="A28" s="6">
        <v>1</v>
      </c>
      <c r="B28" s="6">
        <v>1</v>
      </c>
      <c r="C28" s="4">
        <f t="shared" si="6"/>
        <v>0</v>
      </c>
      <c r="E28" s="6">
        <v>5</v>
      </c>
      <c r="F28" s="6">
        <v>5</v>
      </c>
      <c r="G28" s="4">
        <f t="shared" si="7"/>
        <v>0</v>
      </c>
      <c r="I28" s="6">
        <v>13</v>
      </c>
      <c r="J28" s="6">
        <v>13</v>
      </c>
      <c r="K28" s="4">
        <f t="shared" si="8"/>
        <v>0</v>
      </c>
      <c r="M28" s="6">
        <v>6.3114537800284696</v>
      </c>
      <c r="N28" s="6">
        <v>6.25</v>
      </c>
      <c r="O28" s="10">
        <f t="shared" si="9"/>
        <v>6.1453780028469573E-2</v>
      </c>
    </row>
    <row r="29" spans="1:15" x14ac:dyDescent="0.25">
      <c r="A29" s="6">
        <v>1</v>
      </c>
      <c r="B29" s="6">
        <v>1</v>
      </c>
      <c r="C29" s="4">
        <f t="shared" si="6"/>
        <v>0</v>
      </c>
      <c r="E29" s="6">
        <v>6</v>
      </c>
      <c r="F29" s="6">
        <v>6</v>
      </c>
      <c r="G29" s="4">
        <f t="shared" si="7"/>
        <v>0</v>
      </c>
      <c r="I29" s="6">
        <v>18</v>
      </c>
      <c r="J29" s="6">
        <v>18</v>
      </c>
      <c r="K29" s="4">
        <f t="shared" si="8"/>
        <v>0</v>
      </c>
      <c r="M29" s="6">
        <v>8.6570713368918302</v>
      </c>
      <c r="N29" s="6">
        <v>8.5</v>
      </c>
      <c r="O29" s="10">
        <f t="shared" si="9"/>
        <v>0.15707133689183017</v>
      </c>
    </row>
    <row r="30" spans="1:15" x14ac:dyDescent="0.25">
      <c r="M30" s="6">
        <v>11.6570713368918</v>
      </c>
      <c r="N30" s="6">
        <v>11.25</v>
      </c>
      <c r="O30" s="10">
        <f t="shared" si="9"/>
        <v>0.40707133689179997</v>
      </c>
    </row>
    <row r="31" spans="1:15" x14ac:dyDescent="0.25">
      <c r="M31" s="6">
        <v>5</v>
      </c>
      <c r="N31" s="6">
        <v>5</v>
      </c>
      <c r="O31" s="10">
        <f t="shared" si="9"/>
        <v>0</v>
      </c>
    </row>
    <row r="32" spans="1:15" x14ac:dyDescent="0.25">
      <c r="M32" s="6">
        <v>6.2795331575092996</v>
      </c>
      <c r="N32" s="6">
        <v>6.25</v>
      </c>
      <c r="O32" s="10">
        <f t="shared" si="9"/>
        <v>2.9533157509299635E-2</v>
      </c>
    </row>
    <row r="33" spans="13:15" x14ac:dyDescent="0.25">
      <c r="M33" s="6">
        <v>8.0826985370438198</v>
      </c>
      <c r="N33" s="6">
        <v>8</v>
      </c>
      <c r="O33" s="10">
        <f t="shared" si="9"/>
        <v>8.2698537043819798E-2</v>
      </c>
    </row>
    <row r="34" spans="13:15" x14ac:dyDescent="0.25">
      <c r="M34" s="6">
        <v>10.4490280648699</v>
      </c>
      <c r="N34" s="6">
        <v>10.25</v>
      </c>
      <c r="O34" s="10">
        <f t="shared" si="9"/>
        <v>0.19902806486989988</v>
      </c>
    </row>
    <row r="35" spans="13:15" x14ac:dyDescent="0.25">
      <c r="M35" s="6">
        <v>13.4490280648699</v>
      </c>
      <c r="N35" s="6">
        <v>13</v>
      </c>
      <c r="O35" s="10">
        <f t="shared" si="9"/>
        <v>0.44902806486989988</v>
      </c>
    </row>
    <row r="36" spans="13:15" x14ac:dyDescent="0.25">
      <c r="M36" s="6">
        <v>7.25</v>
      </c>
      <c r="N36" s="6">
        <v>7.25</v>
      </c>
      <c r="O36" s="10">
        <f t="shared" si="9"/>
        <v>0</v>
      </c>
    </row>
    <row r="37" spans="13:15" x14ac:dyDescent="0.25">
      <c r="M37" s="6">
        <v>8.5214086911853499</v>
      </c>
      <c r="N37" s="6">
        <v>8.5</v>
      </c>
      <c r="O37" s="10">
        <f t="shared" si="9"/>
        <v>2.1408691185349937E-2</v>
      </c>
    </row>
    <row r="38" spans="13:15" x14ac:dyDescent="0.25">
      <c r="M38" s="6">
        <v>10.311453780028399</v>
      </c>
      <c r="N38" s="6">
        <v>10.25</v>
      </c>
      <c r="O38" s="10">
        <f t="shared" si="9"/>
        <v>6.1453780028399407E-2</v>
      </c>
    </row>
    <row r="39" spans="13:15" x14ac:dyDescent="0.25">
      <c r="M39" s="6">
        <v>12.6570713368918</v>
      </c>
      <c r="N39" s="6">
        <v>12.5</v>
      </c>
      <c r="O39" s="10">
        <f t="shared" si="9"/>
        <v>0.15707133689179997</v>
      </c>
    </row>
    <row r="40" spans="13:15" x14ac:dyDescent="0.25">
      <c r="M40" s="6">
        <v>15.6570713368918</v>
      </c>
      <c r="N40" s="6">
        <v>15.25</v>
      </c>
      <c r="O40" s="10">
        <f t="shared" si="9"/>
        <v>0.40707133689179997</v>
      </c>
    </row>
    <row r="41" spans="13:15" x14ac:dyDescent="0.25">
      <c r="M41" s="6">
        <v>10</v>
      </c>
      <c r="N41" s="6">
        <v>10</v>
      </c>
      <c r="O41" s="10">
        <f t="shared" si="9"/>
        <v>0</v>
      </c>
    </row>
    <row r="42" spans="13:15" x14ac:dyDescent="0.25">
      <c r="M42" s="6">
        <v>11.25</v>
      </c>
      <c r="N42" s="6">
        <v>11.25</v>
      </c>
      <c r="O42" s="10">
        <f t="shared" si="9"/>
        <v>0</v>
      </c>
    </row>
    <row r="43" spans="13:15" x14ac:dyDescent="0.25">
      <c r="M43" s="6">
        <v>13</v>
      </c>
      <c r="N43" s="6">
        <v>13</v>
      </c>
      <c r="O43" s="10">
        <f t="shared" si="9"/>
        <v>0</v>
      </c>
    </row>
    <row r="44" spans="13:15" x14ac:dyDescent="0.25">
      <c r="M44" s="6">
        <v>15.25</v>
      </c>
      <c r="N44" s="6">
        <v>15.25</v>
      </c>
      <c r="O44" s="10">
        <f t="shared" si="9"/>
        <v>0</v>
      </c>
    </row>
    <row r="45" spans="13:15" x14ac:dyDescent="0.25">
      <c r="M45" s="6">
        <v>18</v>
      </c>
      <c r="N45" s="6">
        <v>18</v>
      </c>
      <c r="O45" s="10">
        <f t="shared" si="9"/>
        <v>0</v>
      </c>
    </row>
  </sheetData>
  <mergeCells count="27">
    <mergeCell ref="Q3:S3"/>
    <mergeCell ref="Q4:S4"/>
    <mergeCell ref="Q5:S5"/>
    <mergeCell ref="M17:O17"/>
    <mergeCell ref="M18:O18"/>
    <mergeCell ref="M19:O19"/>
    <mergeCell ref="E17:G17"/>
    <mergeCell ref="E18:G18"/>
    <mergeCell ref="E19:G19"/>
    <mergeCell ref="I3:K3"/>
    <mergeCell ref="I4:K4"/>
    <mergeCell ref="I5:K5"/>
    <mergeCell ref="I17:K17"/>
    <mergeCell ref="I18:K18"/>
    <mergeCell ref="I19:K19"/>
    <mergeCell ref="M4:O4"/>
    <mergeCell ref="M5:O5"/>
    <mergeCell ref="M3:O3"/>
    <mergeCell ref="E3:G3"/>
    <mergeCell ref="E4:G4"/>
    <mergeCell ref="E5:G5"/>
    <mergeCell ref="A3:C3"/>
    <mergeCell ref="A4:C4"/>
    <mergeCell ref="A5:C5"/>
    <mergeCell ref="A18:C18"/>
    <mergeCell ref="A19:C19"/>
    <mergeCell ref="A17:C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34A7-F663-4C98-AEBC-8BBD226C3512}">
  <dimension ref="A1:AI231"/>
  <sheetViews>
    <sheetView tabSelected="1" topLeftCell="A96" zoomScaleNormal="100" workbookViewId="0">
      <selection activeCell="H110" sqref="H110:M110"/>
    </sheetView>
  </sheetViews>
  <sheetFormatPr defaultRowHeight="15" x14ac:dyDescent="0.25"/>
  <cols>
    <col min="1" max="2" width="20.42578125" style="5" bestFit="1" customWidth="1"/>
    <col min="3" max="3" width="9.28515625" style="3" bestFit="1" customWidth="1"/>
    <col min="4" max="4" width="20.42578125" style="9" bestFit="1" customWidth="1"/>
    <col min="5" max="5" width="20.42578125" style="5" bestFit="1" customWidth="1"/>
    <col min="6" max="6" width="9.28515625" style="5" bestFit="1" customWidth="1"/>
    <col min="7" max="7" width="9" style="3" bestFit="1" customWidth="1"/>
    <col min="8" max="9" width="21.5703125" style="5" bestFit="1" customWidth="1"/>
    <col min="10" max="10" width="9.28515625" style="5" bestFit="1" customWidth="1"/>
    <col min="11" max="12" width="21.5703125" style="5" bestFit="1" customWidth="1"/>
    <col min="13" max="13" width="9.28515625" style="5" bestFit="1" customWidth="1"/>
    <col min="14" max="14" width="20.85546875" style="5" bestFit="1" customWidth="1"/>
    <col min="15" max="15" width="21.5703125" style="3" bestFit="1" customWidth="1"/>
    <col min="16" max="16" width="21.5703125" style="9" bestFit="1" customWidth="1"/>
    <col min="17" max="17" width="9.28515625" style="5" bestFit="1" customWidth="1"/>
    <col min="18" max="18" width="21.5703125" style="5" bestFit="1" customWidth="1"/>
    <col min="19" max="19" width="21.5703125" style="3" bestFit="1" customWidth="1"/>
    <col min="20" max="20" width="9.28515625" bestFit="1" customWidth="1"/>
    <col min="22" max="23" width="22.7109375" bestFit="1" customWidth="1"/>
    <col min="24" max="24" width="9.28515625" bestFit="1" customWidth="1"/>
    <col min="25" max="26" width="23.85546875" bestFit="1" customWidth="1"/>
    <col min="27" max="27" width="9.28515625" bestFit="1" customWidth="1"/>
    <col min="28" max="28" width="8.5703125" bestFit="1" customWidth="1"/>
  </cols>
  <sheetData>
    <row r="1" spans="1:27" x14ac:dyDescent="0.25">
      <c r="D1" s="2"/>
      <c r="P1" s="2"/>
    </row>
    <row r="2" spans="1:27" x14ac:dyDescent="0.25">
      <c r="D2" s="2"/>
      <c r="P2" s="2"/>
    </row>
    <row r="3" spans="1:27" x14ac:dyDescent="0.25">
      <c r="A3" s="16" t="s">
        <v>6</v>
      </c>
      <c r="B3" s="16"/>
      <c r="C3" s="16"/>
      <c r="D3" s="13" t="s">
        <v>6</v>
      </c>
      <c r="E3" s="14"/>
      <c r="F3" s="15"/>
      <c r="H3" s="13" t="s">
        <v>7</v>
      </c>
      <c r="I3" s="14"/>
      <c r="J3" s="15"/>
      <c r="K3" s="13" t="s">
        <v>8</v>
      </c>
      <c r="L3" s="14"/>
      <c r="M3" s="15"/>
      <c r="O3" s="16" t="s">
        <v>9</v>
      </c>
      <c r="P3" s="16"/>
      <c r="Q3" s="16"/>
      <c r="R3" s="13" t="s">
        <v>9</v>
      </c>
      <c r="S3" s="14"/>
      <c r="T3" s="15"/>
      <c r="V3" s="13" t="s">
        <v>10</v>
      </c>
      <c r="W3" s="14"/>
      <c r="X3" s="15"/>
      <c r="Y3" s="13" t="s">
        <v>11</v>
      </c>
      <c r="Z3" s="14"/>
      <c r="AA3" s="15"/>
    </row>
    <row r="4" spans="1:27" x14ac:dyDescent="0.25">
      <c r="A4" s="16" t="s">
        <v>3</v>
      </c>
      <c r="B4" s="16"/>
      <c r="C4" s="16"/>
      <c r="D4" s="13" t="s">
        <v>3</v>
      </c>
      <c r="E4" s="14"/>
      <c r="F4" s="15"/>
      <c r="H4" s="13" t="s">
        <v>3</v>
      </c>
      <c r="I4" s="14"/>
      <c r="J4" s="15"/>
      <c r="K4" s="18" t="s">
        <v>3</v>
      </c>
      <c r="L4" s="19"/>
      <c r="M4" s="20"/>
      <c r="O4" s="13" t="s">
        <v>3</v>
      </c>
      <c r="P4" s="14"/>
      <c r="Q4" s="15"/>
      <c r="R4" s="13" t="s">
        <v>3</v>
      </c>
      <c r="S4" s="14"/>
      <c r="T4" s="15"/>
      <c r="V4" s="13" t="s">
        <v>3</v>
      </c>
      <c r="W4" s="14"/>
      <c r="X4" s="15"/>
      <c r="Y4" s="13" t="s">
        <v>3</v>
      </c>
      <c r="Z4" s="14"/>
      <c r="AA4" s="15"/>
    </row>
    <row r="5" spans="1:27" x14ac:dyDescent="0.25">
      <c r="A5" s="16" t="s">
        <v>4</v>
      </c>
      <c r="B5" s="16"/>
      <c r="C5" s="16"/>
      <c r="D5" s="13" t="s">
        <v>12</v>
      </c>
      <c r="E5" s="14"/>
      <c r="F5" s="15"/>
      <c r="H5" s="13" t="s">
        <v>4</v>
      </c>
      <c r="I5" s="14"/>
      <c r="J5" s="15"/>
      <c r="K5" s="13" t="s">
        <v>12</v>
      </c>
      <c r="L5" s="14"/>
      <c r="M5" s="15"/>
      <c r="O5" s="13" t="s">
        <v>4</v>
      </c>
      <c r="P5" s="14"/>
      <c r="Q5" s="15"/>
      <c r="R5" s="13" t="s">
        <v>12</v>
      </c>
      <c r="S5" s="14"/>
      <c r="T5" s="15"/>
      <c r="V5" s="13" t="s">
        <v>4</v>
      </c>
      <c r="W5" s="14"/>
      <c r="X5" s="15"/>
      <c r="Y5" s="13" t="s">
        <v>4</v>
      </c>
      <c r="Z5" s="14"/>
      <c r="AA5" s="15"/>
    </row>
    <row r="6" spans="1:27" x14ac:dyDescent="0.25">
      <c r="A6" s="6" t="s">
        <v>0</v>
      </c>
      <c r="B6" s="6" t="s">
        <v>1</v>
      </c>
      <c r="C6" s="4" t="s">
        <v>2</v>
      </c>
      <c r="D6" s="6" t="s">
        <v>0</v>
      </c>
      <c r="E6" s="6" t="s">
        <v>1</v>
      </c>
      <c r="F6" s="4" t="s">
        <v>2</v>
      </c>
      <c r="H6" s="6" t="s">
        <v>0</v>
      </c>
      <c r="I6" s="6" t="s">
        <v>1</v>
      </c>
      <c r="J6" s="4" t="s">
        <v>2</v>
      </c>
      <c r="K6" s="6" t="s">
        <v>0</v>
      </c>
      <c r="L6" s="6" t="s">
        <v>1</v>
      </c>
      <c r="M6" s="10" t="s">
        <v>2</v>
      </c>
      <c r="O6" s="6" t="s">
        <v>0</v>
      </c>
      <c r="P6" s="6" t="s">
        <v>1</v>
      </c>
      <c r="Q6" s="4" t="s">
        <v>2</v>
      </c>
      <c r="R6" s="7" t="s">
        <v>0</v>
      </c>
      <c r="S6" s="7" t="s">
        <v>1</v>
      </c>
      <c r="T6" s="8" t="s">
        <v>2</v>
      </c>
      <c r="V6" s="6" t="s">
        <v>0</v>
      </c>
      <c r="W6" s="6" t="s">
        <v>1</v>
      </c>
      <c r="X6" s="4" t="s">
        <v>2</v>
      </c>
      <c r="Y6" s="6" t="s">
        <v>0</v>
      </c>
      <c r="Z6" s="6" t="s">
        <v>1</v>
      </c>
      <c r="AA6" s="4" t="s">
        <v>2</v>
      </c>
    </row>
    <row r="7" spans="1:27" x14ac:dyDescent="0.25">
      <c r="A7" s="6">
        <v>0</v>
      </c>
      <c r="B7" s="6">
        <v>0</v>
      </c>
      <c r="C7" s="4">
        <f>ABS(A7-B7)</f>
        <v>0</v>
      </c>
      <c r="D7" s="6">
        <v>0</v>
      </c>
      <c r="E7" s="6">
        <v>0</v>
      </c>
      <c r="F7" s="4">
        <f>ABS(D7-E7)</f>
        <v>0</v>
      </c>
      <c r="H7" s="6">
        <v>0</v>
      </c>
      <c r="I7" s="6">
        <v>0</v>
      </c>
      <c r="J7" s="4">
        <f>ABS(H7-I7)</f>
        <v>0</v>
      </c>
      <c r="K7" s="6">
        <v>0</v>
      </c>
      <c r="L7" s="6">
        <v>0</v>
      </c>
      <c r="M7" s="10">
        <f>ABS(K7-L7)</f>
        <v>0</v>
      </c>
      <c r="O7" s="6">
        <v>0</v>
      </c>
      <c r="P7" s="6">
        <v>0</v>
      </c>
      <c r="Q7" s="4">
        <f t="shared" ref="Q7:Q48" si="0">ABS(O7-P7)</f>
        <v>0</v>
      </c>
      <c r="R7" s="6">
        <v>0</v>
      </c>
      <c r="S7" s="6">
        <v>0</v>
      </c>
      <c r="T7" s="4">
        <f>ABS(R7-S7)</f>
        <v>0</v>
      </c>
      <c r="V7" s="6">
        <v>0</v>
      </c>
      <c r="W7" s="6">
        <v>0</v>
      </c>
      <c r="X7" s="4">
        <f>ABS(V7-W7)</f>
        <v>0</v>
      </c>
      <c r="Y7" s="6">
        <v>0</v>
      </c>
      <c r="Z7" s="6">
        <v>0</v>
      </c>
      <c r="AA7" s="4">
        <f>ABS(Y7-Z7)</f>
        <v>0</v>
      </c>
    </row>
    <row r="8" spans="1:27" x14ac:dyDescent="0.25">
      <c r="A8" s="6">
        <v>0</v>
      </c>
      <c r="B8" s="6">
        <v>0</v>
      </c>
      <c r="C8" s="4">
        <f t="shared" ref="C8:C10" si="1">ABS(A8-B8)</f>
        <v>0</v>
      </c>
      <c r="D8" s="6">
        <v>0</v>
      </c>
      <c r="E8" s="6">
        <v>0</v>
      </c>
      <c r="F8" s="4">
        <f t="shared" ref="F8:F10" si="2">ABS(D8-E8)</f>
        <v>0</v>
      </c>
      <c r="H8" s="6">
        <v>0</v>
      </c>
      <c r="I8" s="6">
        <v>0</v>
      </c>
      <c r="J8" s="4">
        <f t="shared" ref="J8:J48" si="3">ABS(H8-I8)</f>
        <v>0</v>
      </c>
      <c r="K8" s="6">
        <v>0</v>
      </c>
      <c r="L8" s="6">
        <v>0</v>
      </c>
      <c r="M8" s="10">
        <f t="shared" ref="M8:M48" si="4">ABS(K8-L8)</f>
        <v>0</v>
      </c>
      <c r="O8" s="6">
        <v>0</v>
      </c>
      <c r="P8" s="6">
        <v>0</v>
      </c>
      <c r="Q8" s="4">
        <f t="shared" si="0"/>
        <v>0</v>
      </c>
      <c r="R8" s="6">
        <v>0</v>
      </c>
      <c r="S8" s="6">
        <v>0</v>
      </c>
      <c r="T8" s="4">
        <f t="shared" ref="T8:T48" si="5">ABS(R8-S8)</f>
        <v>0</v>
      </c>
      <c r="V8" s="6">
        <v>0</v>
      </c>
      <c r="W8" s="6">
        <v>0</v>
      </c>
      <c r="X8" s="4">
        <f t="shared" ref="X8:X48" si="6">ABS(V8-W8)</f>
        <v>0</v>
      </c>
      <c r="Y8" s="6">
        <v>0</v>
      </c>
      <c r="Z8" s="6">
        <v>0</v>
      </c>
      <c r="AA8" s="4">
        <f t="shared" ref="AA8:AA48" si="7">ABS(Y8-Z8)</f>
        <v>0</v>
      </c>
    </row>
    <row r="9" spans="1:27" x14ac:dyDescent="0.25">
      <c r="A9" s="6">
        <v>1</v>
      </c>
      <c r="B9" s="6">
        <v>1</v>
      </c>
      <c r="C9" s="4">
        <f t="shared" si="1"/>
        <v>0</v>
      </c>
      <c r="D9" s="6">
        <v>1</v>
      </c>
      <c r="E9" s="6">
        <v>1</v>
      </c>
      <c r="F9" s="4">
        <f t="shared" si="2"/>
        <v>0</v>
      </c>
      <c r="H9" s="6">
        <v>4</v>
      </c>
      <c r="I9" s="6">
        <v>4</v>
      </c>
      <c r="J9" s="4">
        <f t="shared" si="3"/>
        <v>0</v>
      </c>
      <c r="K9" s="6">
        <v>4</v>
      </c>
      <c r="L9" s="6">
        <v>4</v>
      </c>
      <c r="M9" s="10">
        <f t="shared" si="4"/>
        <v>0</v>
      </c>
      <c r="O9" s="6">
        <v>10</v>
      </c>
      <c r="P9" s="6">
        <v>10</v>
      </c>
      <c r="Q9" s="4">
        <f t="shared" si="0"/>
        <v>0</v>
      </c>
      <c r="R9" s="6">
        <v>10</v>
      </c>
      <c r="S9" s="6">
        <v>10</v>
      </c>
      <c r="T9" s="4">
        <f t="shared" si="5"/>
        <v>0</v>
      </c>
      <c r="V9" s="6">
        <v>28</v>
      </c>
      <c r="W9" s="6">
        <v>28</v>
      </c>
      <c r="X9" s="4">
        <f t="shared" si="6"/>
        <v>0</v>
      </c>
      <c r="Y9" s="6">
        <v>82</v>
      </c>
      <c r="Z9" s="6">
        <v>82</v>
      </c>
      <c r="AA9" s="4">
        <f t="shared" si="7"/>
        <v>0</v>
      </c>
    </row>
    <row r="10" spans="1:27" x14ac:dyDescent="0.25">
      <c r="A10" s="6">
        <v>1</v>
      </c>
      <c r="B10" s="6">
        <v>1</v>
      </c>
      <c r="C10" s="4">
        <f t="shared" si="1"/>
        <v>0</v>
      </c>
      <c r="D10" s="6">
        <v>1</v>
      </c>
      <c r="E10" s="6">
        <v>1</v>
      </c>
      <c r="F10" s="4">
        <f t="shared" si="2"/>
        <v>0</v>
      </c>
      <c r="H10" s="6">
        <v>5</v>
      </c>
      <c r="I10" s="6">
        <v>5</v>
      </c>
      <c r="J10" s="4">
        <f t="shared" si="3"/>
        <v>0</v>
      </c>
      <c r="K10" s="6">
        <v>5</v>
      </c>
      <c r="L10" s="6">
        <v>5</v>
      </c>
      <c r="M10" s="10">
        <f t="shared" si="4"/>
        <v>0</v>
      </c>
      <c r="O10" s="6">
        <v>17</v>
      </c>
      <c r="P10" s="6">
        <v>17</v>
      </c>
      <c r="Q10" s="4">
        <f t="shared" si="0"/>
        <v>0</v>
      </c>
      <c r="R10" s="6">
        <v>17</v>
      </c>
      <c r="S10" s="6">
        <v>17</v>
      </c>
      <c r="T10" s="4">
        <f t="shared" si="5"/>
        <v>0</v>
      </c>
      <c r="V10" s="6">
        <v>65</v>
      </c>
      <c r="W10" s="6">
        <v>65</v>
      </c>
      <c r="X10" s="4">
        <f t="shared" si="6"/>
        <v>0</v>
      </c>
      <c r="Y10" s="6">
        <v>257</v>
      </c>
      <c r="Z10" s="6">
        <v>257</v>
      </c>
      <c r="AA10" s="4">
        <f t="shared" si="7"/>
        <v>0</v>
      </c>
    </row>
    <row r="11" spans="1:27" x14ac:dyDescent="0.25">
      <c r="A11" s="6">
        <v>1</v>
      </c>
      <c r="B11" s="6">
        <v>1</v>
      </c>
      <c r="C11" s="4">
        <f>ABS(A11-B11)</f>
        <v>0</v>
      </c>
      <c r="D11" s="6">
        <v>1</v>
      </c>
      <c r="E11" s="6">
        <v>1</v>
      </c>
      <c r="F11" s="4">
        <f>ABS(D11-E11)</f>
        <v>0</v>
      </c>
      <c r="H11" s="6">
        <v>6</v>
      </c>
      <c r="I11" s="6">
        <v>6</v>
      </c>
      <c r="J11" s="4">
        <f t="shared" si="3"/>
        <v>0</v>
      </c>
      <c r="K11" s="6">
        <v>6</v>
      </c>
      <c r="L11" s="6">
        <v>6</v>
      </c>
      <c r="M11" s="10">
        <f t="shared" si="4"/>
        <v>0</v>
      </c>
      <c r="O11" s="6">
        <v>26</v>
      </c>
      <c r="P11" s="6">
        <v>26</v>
      </c>
      <c r="Q11" s="4">
        <f t="shared" si="0"/>
        <v>0</v>
      </c>
      <c r="R11" s="6">
        <v>26</v>
      </c>
      <c r="S11" s="6">
        <v>26</v>
      </c>
      <c r="T11" s="4">
        <f t="shared" si="5"/>
        <v>0</v>
      </c>
      <c r="V11" s="6">
        <v>126</v>
      </c>
      <c r="W11" s="6">
        <v>126</v>
      </c>
      <c r="X11" s="4">
        <f t="shared" si="6"/>
        <v>0</v>
      </c>
      <c r="Y11" s="6">
        <v>626</v>
      </c>
      <c r="Z11" s="6">
        <v>626</v>
      </c>
      <c r="AA11" s="4">
        <f t="shared" si="7"/>
        <v>0</v>
      </c>
    </row>
    <row r="12" spans="1:27" x14ac:dyDescent="0.25">
      <c r="A12" s="6">
        <v>0</v>
      </c>
      <c r="B12" s="6">
        <v>0</v>
      </c>
      <c r="C12" s="4">
        <f t="shared" ref="C12:C48" si="8">ABS(A12-B12)</f>
        <v>0</v>
      </c>
      <c r="D12" s="6">
        <v>0</v>
      </c>
      <c r="E12" s="6">
        <v>0</v>
      </c>
      <c r="F12" s="4">
        <f t="shared" ref="F12:F48" si="9">ABS(D12-E12)</f>
        <v>0</v>
      </c>
      <c r="H12" s="7">
        <v>0</v>
      </c>
      <c r="I12" s="7">
        <v>0</v>
      </c>
      <c r="J12" s="8">
        <f t="shared" si="3"/>
        <v>0</v>
      </c>
      <c r="K12" s="6">
        <v>0</v>
      </c>
      <c r="L12" s="6">
        <v>0</v>
      </c>
      <c r="M12" s="10">
        <f t="shared" si="4"/>
        <v>0</v>
      </c>
      <c r="O12" s="6">
        <v>0</v>
      </c>
      <c r="P12" s="6">
        <v>0</v>
      </c>
      <c r="Q12" s="4">
        <f t="shared" si="0"/>
        <v>0</v>
      </c>
      <c r="R12" s="6">
        <v>0</v>
      </c>
      <c r="S12" s="6">
        <v>0</v>
      </c>
      <c r="T12" s="4">
        <f t="shared" si="5"/>
        <v>0</v>
      </c>
      <c r="V12" s="7">
        <v>0</v>
      </c>
      <c r="W12" s="7">
        <v>0</v>
      </c>
      <c r="X12" s="8">
        <f t="shared" si="6"/>
        <v>0</v>
      </c>
      <c r="Y12" s="6">
        <v>0</v>
      </c>
      <c r="Z12" s="6">
        <v>0</v>
      </c>
      <c r="AA12" s="4">
        <f t="shared" si="7"/>
        <v>0</v>
      </c>
    </row>
    <row r="13" spans="1:27" x14ac:dyDescent="0.25">
      <c r="A13" s="6">
        <v>0</v>
      </c>
      <c r="B13" s="6">
        <v>0</v>
      </c>
      <c r="C13" s="4">
        <f t="shared" si="8"/>
        <v>0</v>
      </c>
      <c r="D13" s="6">
        <v>0</v>
      </c>
      <c r="E13" s="6">
        <v>0</v>
      </c>
      <c r="F13" s="4">
        <f t="shared" si="9"/>
        <v>0</v>
      </c>
      <c r="H13" s="6">
        <v>0</v>
      </c>
      <c r="I13" s="6">
        <v>0</v>
      </c>
      <c r="J13" s="4">
        <f t="shared" si="3"/>
        <v>0</v>
      </c>
      <c r="K13" s="6">
        <v>0</v>
      </c>
      <c r="L13" s="6">
        <v>0</v>
      </c>
      <c r="M13" s="10">
        <f t="shared" si="4"/>
        <v>0</v>
      </c>
      <c r="O13" s="7">
        <v>0</v>
      </c>
      <c r="P13" s="7">
        <v>0</v>
      </c>
      <c r="Q13" s="8">
        <f t="shared" si="0"/>
        <v>0</v>
      </c>
      <c r="R13" s="6">
        <v>0</v>
      </c>
      <c r="S13" s="6">
        <v>0</v>
      </c>
      <c r="T13" s="4">
        <f t="shared" si="5"/>
        <v>0</v>
      </c>
      <c r="V13" s="6">
        <v>0</v>
      </c>
      <c r="W13" s="6">
        <v>0</v>
      </c>
      <c r="X13" s="4">
        <f t="shared" si="6"/>
        <v>0</v>
      </c>
      <c r="Y13" s="7">
        <v>0</v>
      </c>
      <c r="Z13" s="7">
        <v>0</v>
      </c>
      <c r="AA13" s="8">
        <f t="shared" si="7"/>
        <v>0</v>
      </c>
    </row>
    <row r="14" spans="1:27" x14ac:dyDescent="0.25">
      <c r="A14" s="6">
        <v>0</v>
      </c>
      <c r="B14" s="6">
        <v>0</v>
      </c>
      <c r="C14" s="4">
        <f t="shared" si="8"/>
        <v>0</v>
      </c>
      <c r="D14" s="6">
        <v>0</v>
      </c>
      <c r="E14" s="6">
        <v>0</v>
      </c>
      <c r="F14" s="4">
        <f t="shared" si="9"/>
        <v>0</v>
      </c>
      <c r="H14" s="6">
        <v>0</v>
      </c>
      <c r="I14" s="6">
        <v>0</v>
      </c>
      <c r="J14" s="4">
        <f t="shared" si="3"/>
        <v>0</v>
      </c>
      <c r="K14" s="6">
        <v>0</v>
      </c>
      <c r="L14" s="6">
        <v>0</v>
      </c>
      <c r="M14" s="10">
        <f t="shared" si="4"/>
        <v>0</v>
      </c>
      <c r="O14" s="6">
        <v>0</v>
      </c>
      <c r="P14" s="6">
        <v>0</v>
      </c>
      <c r="Q14" s="4">
        <f t="shared" si="0"/>
        <v>0</v>
      </c>
      <c r="R14" s="6">
        <v>0</v>
      </c>
      <c r="S14" s="6">
        <v>0</v>
      </c>
      <c r="T14" s="4">
        <f t="shared" si="5"/>
        <v>0</v>
      </c>
      <c r="V14" s="6">
        <v>0</v>
      </c>
      <c r="W14" s="6">
        <v>0</v>
      </c>
      <c r="X14" s="4">
        <f t="shared" si="6"/>
        <v>0</v>
      </c>
      <c r="Y14" s="6">
        <v>0</v>
      </c>
      <c r="Z14" s="6">
        <v>0</v>
      </c>
      <c r="AA14" s="4">
        <f t="shared" si="7"/>
        <v>0</v>
      </c>
    </row>
    <row r="15" spans="1:27" x14ac:dyDescent="0.25">
      <c r="A15" s="6">
        <v>0</v>
      </c>
      <c r="B15" s="6">
        <v>0</v>
      </c>
      <c r="C15" s="4">
        <f t="shared" si="8"/>
        <v>0</v>
      </c>
      <c r="D15" s="6">
        <v>0</v>
      </c>
      <c r="E15" s="6">
        <v>0</v>
      </c>
      <c r="F15" s="4">
        <f t="shared" si="9"/>
        <v>0</v>
      </c>
      <c r="H15" s="6">
        <v>0</v>
      </c>
      <c r="I15" s="6">
        <v>0</v>
      </c>
      <c r="J15" s="4">
        <f t="shared" si="3"/>
        <v>0</v>
      </c>
      <c r="K15" s="6">
        <v>0</v>
      </c>
      <c r="L15" s="6">
        <v>0</v>
      </c>
      <c r="M15" s="10">
        <f t="shared" si="4"/>
        <v>0</v>
      </c>
      <c r="O15" s="6">
        <v>0</v>
      </c>
      <c r="P15" s="6">
        <v>0</v>
      </c>
      <c r="Q15" s="4">
        <f t="shared" si="0"/>
        <v>0</v>
      </c>
      <c r="R15" s="6">
        <v>0</v>
      </c>
      <c r="S15" s="6">
        <v>0</v>
      </c>
      <c r="T15" s="4">
        <f t="shared" si="5"/>
        <v>0</v>
      </c>
      <c r="V15" s="6">
        <v>0</v>
      </c>
      <c r="W15" s="6">
        <v>0</v>
      </c>
      <c r="X15" s="4">
        <f t="shared" si="6"/>
        <v>0</v>
      </c>
      <c r="Y15" s="6">
        <v>0</v>
      </c>
      <c r="Z15" s="6">
        <v>0</v>
      </c>
      <c r="AA15" s="4">
        <f t="shared" si="7"/>
        <v>0</v>
      </c>
    </row>
    <row r="16" spans="1:27" x14ac:dyDescent="0.25">
      <c r="A16" s="6">
        <v>1</v>
      </c>
      <c r="B16" s="6">
        <v>1</v>
      </c>
      <c r="C16" s="4">
        <f t="shared" si="8"/>
        <v>0</v>
      </c>
      <c r="D16" s="6">
        <v>1</v>
      </c>
      <c r="E16" s="6">
        <v>1</v>
      </c>
      <c r="F16" s="4">
        <f t="shared" si="9"/>
        <v>0</v>
      </c>
      <c r="H16" s="6">
        <v>5</v>
      </c>
      <c r="I16" s="6">
        <v>5</v>
      </c>
      <c r="J16" s="4">
        <f t="shared" si="3"/>
        <v>0</v>
      </c>
      <c r="K16" s="6">
        <v>5</v>
      </c>
      <c r="L16" s="6">
        <v>5</v>
      </c>
      <c r="M16" s="10">
        <f t="shared" si="4"/>
        <v>0</v>
      </c>
      <c r="O16" s="6">
        <v>13</v>
      </c>
      <c r="P16" s="6">
        <v>13</v>
      </c>
      <c r="Q16" s="4">
        <f t="shared" si="0"/>
        <v>0</v>
      </c>
      <c r="R16" s="6">
        <v>13</v>
      </c>
      <c r="S16" s="6">
        <v>13</v>
      </c>
      <c r="T16" s="4">
        <f t="shared" si="5"/>
        <v>0</v>
      </c>
      <c r="V16" s="6">
        <v>35</v>
      </c>
      <c r="W16" s="6">
        <v>35</v>
      </c>
      <c r="X16" s="4">
        <f t="shared" si="6"/>
        <v>0</v>
      </c>
      <c r="Y16" s="6">
        <v>97</v>
      </c>
      <c r="Z16" s="6">
        <v>97</v>
      </c>
      <c r="AA16" s="4">
        <f t="shared" si="7"/>
        <v>0</v>
      </c>
    </row>
    <row r="17" spans="1:27" x14ac:dyDescent="0.25">
      <c r="A17" s="6">
        <v>1</v>
      </c>
      <c r="B17" s="6">
        <v>1</v>
      </c>
      <c r="C17" s="4">
        <f t="shared" si="8"/>
        <v>0</v>
      </c>
      <c r="D17" s="6">
        <v>1</v>
      </c>
      <c r="E17" s="6">
        <v>1</v>
      </c>
      <c r="F17" s="4">
        <f t="shared" si="9"/>
        <v>0</v>
      </c>
      <c r="H17" s="6">
        <v>5.9999999999999902</v>
      </c>
      <c r="I17" s="6">
        <v>6</v>
      </c>
      <c r="J17" s="4">
        <f t="shared" si="3"/>
        <v>9.7699626167013776E-15</v>
      </c>
      <c r="K17" s="6">
        <v>6</v>
      </c>
      <c r="L17" s="6">
        <v>6</v>
      </c>
      <c r="M17" s="10">
        <f t="shared" si="4"/>
        <v>0</v>
      </c>
      <c r="O17" s="6">
        <v>20</v>
      </c>
      <c r="P17" s="6">
        <v>20</v>
      </c>
      <c r="Q17" s="4">
        <f t="shared" si="0"/>
        <v>0</v>
      </c>
      <c r="R17" s="6">
        <v>20.0044483985765</v>
      </c>
      <c r="S17" s="6">
        <v>20</v>
      </c>
      <c r="T17" s="4">
        <f t="shared" si="5"/>
        <v>4.4483985764998124E-3</v>
      </c>
      <c r="V17" s="6">
        <v>71.999999999999901</v>
      </c>
      <c r="W17" s="6">
        <v>72</v>
      </c>
      <c r="X17" s="4">
        <f t="shared" si="6"/>
        <v>9.9475983006414026E-14</v>
      </c>
      <c r="Y17" s="6">
        <v>273.05747888023802</v>
      </c>
      <c r="Z17" s="6">
        <v>272</v>
      </c>
      <c r="AA17" s="4">
        <f t="shared" si="7"/>
        <v>1.0574788802380226</v>
      </c>
    </row>
    <row r="18" spans="1:27" x14ac:dyDescent="0.25">
      <c r="A18" s="6">
        <v>1</v>
      </c>
      <c r="B18" s="6">
        <v>1</v>
      </c>
      <c r="C18" s="4">
        <f t="shared" si="8"/>
        <v>0</v>
      </c>
      <c r="D18" s="6">
        <v>1</v>
      </c>
      <c r="E18" s="6">
        <v>1</v>
      </c>
      <c r="F18" s="4">
        <f t="shared" si="9"/>
        <v>0</v>
      </c>
      <c r="H18" s="6">
        <v>7</v>
      </c>
      <c r="I18" s="6">
        <v>7</v>
      </c>
      <c r="J18" s="4">
        <f t="shared" si="3"/>
        <v>0</v>
      </c>
      <c r="K18" s="6">
        <v>7</v>
      </c>
      <c r="L18" s="6">
        <v>7</v>
      </c>
      <c r="M18" s="10">
        <f t="shared" si="4"/>
        <v>0</v>
      </c>
      <c r="O18" s="6">
        <v>29</v>
      </c>
      <c r="P18" s="6">
        <v>29</v>
      </c>
      <c r="Q18" s="4">
        <f t="shared" si="0"/>
        <v>0</v>
      </c>
      <c r="R18" s="6">
        <v>29</v>
      </c>
      <c r="S18" s="6">
        <v>29</v>
      </c>
      <c r="T18" s="4">
        <f t="shared" si="5"/>
        <v>0</v>
      </c>
      <c r="V18" s="6">
        <v>133</v>
      </c>
      <c r="W18" s="6">
        <v>133</v>
      </c>
      <c r="X18" s="4">
        <f t="shared" si="6"/>
        <v>0</v>
      </c>
      <c r="Y18" s="6">
        <v>641</v>
      </c>
      <c r="Z18" s="6">
        <v>641</v>
      </c>
      <c r="AA18" s="4">
        <f t="shared" si="7"/>
        <v>0</v>
      </c>
    </row>
    <row r="19" spans="1:27" x14ac:dyDescent="0.25">
      <c r="A19" s="6">
        <v>0</v>
      </c>
      <c r="B19" s="6">
        <v>0</v>
      </c>
      <c r="C19" s="4">
        <f t="shared" si="8"/>
        <v>0</v>
      </c>
      <c r="D19" s="6">
        <v>0</v>
      </c>
      <c r="E19" s="6">
        <v>0</v>
      </c>
      <c r="F19" s="4">
        <f t="shared" si="9"/>
        <v>0</v>
      </c>
      <c r="H19" s="6">
        <v>0</v>
      </c>
      <c r="I19" s="6">
        <v>0</v>
      </c>
      <c r="J19" s="4">
        <f t="shared" si="3"/>
        <v>0</v>
      </c>
      <c r="K19" s="6">
        <v>0</v>
      </c>
      <c r="L19" s="6">
        <v>0</v>
      </c>
      <c r="M19" s="10">
        <f t="shared" si="4"/>
        <v>0</v>
      </c>
      <c r="O19" s="6">
        <v>0</v>
      </c>
      <c r="P19" s="6">
        <v>0</v>
      </c>
      <c r="Q19" s="4">
        <f t="shared" si="0"/>
        <v>0</v>
      </c>
      <c r="R19" s="6">
        <v>0</v>
      </c>
      <c r="S19" s="6">
        <v>0</v>
      </c>
      <c r="T19" s="4">
        <f t="shared" si="5"/>
        <v>0</v>
      </c>
      <c r="V19" s="6">
        <v>0</v>
      </c>
      <c r="W19" s="6">
        <v>0</v>
      </c>
      <c r="X19" s="4">
        <f t="shared" si="6"/>
        <v>0</v>
      </c>
      <c r="Y19" s="6">
        <v>0</v>
      </c>
      <c r="Z19" s="6">
        <v>0</v>
      </c>
      <c r="AA19" s="4">
        <f t="shared" si="7"/>
        <v>0</v>
      </c>
    </row>
    <row r="20" spans="1:27" x14ac:dyDescent="0.25">
      <c r="A20" s="6">
        <v>0</v>
      </c>
      <c r="B20" s="6">
        <v>0</v>
      </c>
      <c r="C20" s="4">
        <f t="shared" si="8"/>
        <v>0</v>
      </c>
      <c r="D20" s="6">
        <v>0</v>
      </c>
      <c r="E20" s="6">
        <v>0</v>
      </c>
      <c r="F20" s="4">
        <f t="shared" si="9"/>
        <v>0</v>
      </c>
      <c r="H20" s="6">
        <v>0</v>
      </c>
      <c r="I20" s="6">
        <v>0</v>
      </c>
      <c r="J20" s="4">
        <f t="shared" si="3"/>
        <v>0</v>
      </c>
      <c r="K20" s="6">
        <v>0</v>
      </c>
      <c r="L20" s="6">
        <v>0</v>
      </c>
      <c r="M20" s="10">
        <f t="shared" si="4"/>
        <v>0</v>
      </c>
      <c r="O20" s="6">
        <v>0</v>
      </c>
      <c r="P20" s="6">
        <v>0</v>
      </c>
      <c r="Q20" s="4">
        <f t="shared" si="0"/>
        <v>0</v>
      </c>
      <c r="R20" s="6">
        <v>0</v>
      </c>
      <c r="S20" s="6">
        <v>0</v>
      </c>
      <c r="T20" s="4">
        <f t="shared" si="5"/>
        <v>0</v>
      </c>
      <c r="V20" s="6">
        <v>0</v>
      </c>
      <c r="W20" s="6">
        <v>0</v>
      </c>
      <c r="X20" s="4">
        <f t="shared" si="6"/>
        <v>0</v>
      </c>
      <c r="Y20" s="6">
        <v>0</v>
      </c>
      <c r="Z20" s="6">
        <v>0</v>
      </c>
      <c r="AA20" s="4">
        <f t="shared" si="7"/>
        <v>0</v>
      </c>
    </row>
    <row r="21" spans="1:27" x14ac:dyDescent="0.25">
      <c r="A21" s="6">
        <v>0</v>
      </c>
      <c r="B21" s="6">
        <v>0</v>
      </c>
      <c r="C21" s="4">
        <f t="shared" si="8"/>
        <v>0</v>
      </c>
      <c r="D21" s="6">
        <v>0</v>
      </c>
      <c r="E21" s="6">
        <v>0</v>
      </c>
      <c r="F21" s="4">
        <f t="shared" si="9"/>
        <v>0</v>
      </c>
      <c r="H21" s="6">
        <v>0</v>
      </c>
      <c r="I21" s="6">
        <v>0</v>
      </c>
      <c r="J21" s="4">
        <f t="shared" si="3"/>
        <v>0</v>
      </c>
      <c r="K21" s="6">
        <v>0</v>
      </c>
      <c r="L21" s="6">
        <v>0</v>
      </c>
      <c r="M21" s="10">
        <f t="shared" si="4"/>
        <v>0</v>
      </c>
      <c r="O21" s="6">
        <v>0</v>
      </c>
      <c r="P21" s="6">
        <v>0</v>
      </c>
      <c r="Q21" s="4">
        <f t="shared" si="0"/>
        <v>0</v>
      </c>
      <c r="R21" s="6">
        <v>0</v>
      </c>
      <c r="S21" s="6">
        <v>0</v>
      </c>
      <c r="T21" s="4">
        <f t="shared" si="5"/>
        <v>0</v>
      </c>
      <c r="V21" s="6">
        <v>0</v>
      </c>
      <c r="W21" s="6">
        <v>0</v>
      </c>
      <c r="X21" s="4">
        <f t="shared" si="6"/>
        <v>0</v>
      </c>
      <c r="Y21" s="6">
        <v>0</v>
      </c>
      <c r="Z21" s="6">
        <v>0</v>
      </c>
      <c r="AA21" s="4">
        <f t="shared" si="7"/>
        <v>0</v>
      </c>
    </row>
    <row r="22" spans="1:27" x14ac:dyDescent="0.25">
      <c r="A22" s="6">
        <v>0</v>
      </c>
      <c r="B22" s="6">
        <v>0</v>
      </c>
      <c r="C22" s="4">
        <f t="shared" si="8"/>
        <v>0</v>
      </c>
      <c r="D22" s="6">
        <v>0</v>
      </c>
      <c r="E22" s="6">
        <v>0</v>
      </c>
      <c r="F22" s="4">
        <f t="shared" si="9"/>
        <v>0</v>
      </c>
      <c r="H22" s="6">
        <v>0</v>
      </c>
      <c r="I22" s="6">
        <v>0</v>
      </c>
      <c r="J22" s="4">
        <f t="shared" si="3"/>
        <v>0</v>
      </c>
      <c r="K22" s="6">
        <v>0</v>
      </c>
      <c r="L22" s="6">
        <v>0</v>
      </c>
      <c r="M22" s="10">
        <f t="shared" si="4"/>
        <v>0</v>
      </c>
      <c r="O22" s="6">
        <v>0</v>
      </c>
      <c r="P22" s="6">
        <v>0</v>
      </c>
      <c r="Q22" s="4">
        <f t="shared" si="0"/>
        <v>0</v>
      </c>
      <c r="R22" s="6">
        <v>0</v>
      </c>
      <c r="S22" s="6">
        <v>0</v>
      </c>
      <c r="T22" s="4">
        <f t="shared" si="5"/>
        <v>0</v>
      </c>
      <c r="V22" s="6">
        <v>0</v>
      </c>
      <c r="W22" s="6">
        <v>0</v>
      </c>
      <c r="X22" s="4">
        <f t="shared" si="6"/>
        <v>0</v>
      </c>
      <c r="Y22" s="6">
        <v>0</v>
      </c>
      <c r="Z22" s="6">
        <v>0</v>
      </c>
      <c r="AA22" s="4">
        <f t="shared" si="7"/>
        <v>0</v>
      </c>
    </row>
    <row r="23" spans="1:27" x14ac:dyDescent="0.25">
      <c r="A23" s="6">
        <v>1</v>
      </c>
      <c r="B23" s="6">
        <v>1</v>
      </c>
      <c r="C23" s="4">
        <f t="shared" si="8"/>
        <v>0</v>
      </c>
      <c r="D23" s="6">
        <v>1</v>
      </c>
      <c r="E23" s="6">
        <v>1</v>
      </c>
      <c r="F23" s="4">
        <f t="shared" si="9"/>
        <v>0</v>
      </c>
      <c r="H23" s="6">
        <v>6</v>
      </c>
      <c r="I23" s="6">
        <v>6</v>
      </c>
      <c r="J23" s="4">
        <f t="shared" si="3"/>
        <v>0</v>
      </c>
      <c r="K23" s="6">
        <v>6</v>
      </c>
      <c r="L23" s="6">
        <v>6</v>
      </c>
      <c r="M23" s="10">
        <f t="shared" si="4"/>
        <v>0</v>
      </c>
      <c r="O23" s="6">
        <v>18</v>
      </c>
      <c r="P23" s="6">
        <v>18</v>
      </c>
      <c r="Q23" s="4">
        <f t="shared" si="0"/>
        <v>0</v>
      </c>
      <c r="R23" s="6">
        <v>18</v>
      </c>
      <c r="S23" s="6">
        <v>18</v>
      </c>
      <c r="T23" s="4">
        <f t="shared" si="5"/>
        <v>0</v>
      </c>
      <c r="V23" s="6">
        <v>54</v>
      </c>
      <c r="W23" s="6">
        <v>54</v>
      </c>
      <c r="X23" s="4">
        <f t="shared" si="6"/>
        <v>0</v>
      </c>
      <c r="Y23" s="6">
        <v>162</v>
      </c>
      <c r="Z23" s="6">
        <v>162</v>
      </c>
      <c r="AA23" s="4">
        <f t="shared" si="7"/>
        <v>0</v>
      </c>
    </row>
    <row r="24" spans="1:27" x14ac:dyDescent="0.25">
      <c r="A24" s="6">
        <v>1</v>
      </c>
      <c r="B24" s="6">
        <v>1</v>
      </c>
      <c r="C24" s="4">
        <f t="shared" si="8"/>
        <v>0</v>
      </c>
      <c r="D24" s="6">
        <v>1</v>
      </c>
      <c r="E24" s="6">
        <v>1</v>
      </c>
      <c r="F24" s="4">
        <f t="shared" si="9"/>
        <v>0</v>
      </c>
      <c r="H24" s="6">
        <v>7</v>
      </c>
      <c r="I24" s="6">
        <v>7</v>
      </c>
      <c r="J24" s="4">
        <f t="shared" si="3"/>
        <v>0</v>
      </c>
      <c r="K24" s="6">
        <v>7</v>
      </c>
      <c r="L24" s="6">
        <v>7</v>
      </c>
      <c r="M24" s="10">
        <f t="shared" si="4"/>
        <v>0</v>
      </c>
      <c r="O24" s="6">
        <v>25</v>
      </c>
      <c r="P24" s="6">
        <v>25</v>
      </c>
      <c r="Q24" s="4">
        <f t="shared" si="0"/>
        <v>0</v>
      </c>
      <c r="R24" s="6">
        <v>25.022241992882499</v>
      </c>
      <c r="S24" s="6">
        <v>25</v>
      </c>
      <c r="T24" s="4">
        <f t="shared" si="5"/>
        <v>2.2241992882499062E-2</v>
      </c>
      <c r="V24" s="6">
        <v>91</v>
      </c>
      <c r="W24" s="6">
        <v>91</v>
      </c>
      <c r="X24" s="4">
        <f t="shared" si="6"/>
        <v>0</v>
      </c>
      <c r="Y24" s="6">
        <v>338.28739440119199</v>
      </c>
      <c r="Z24" s="6">
        <v>337</v>
      </c>
      <c r="AA24" s="4">
        <f t="shared" si="7"/>
        <v>1.2873944011919889</v>
      </c>
    </row>
    <row r="25" spans="1:27" x14ac:dyDescent="0.25">
      <c r="A25" s="6">
        <v>1</v>
      </c>
      <c r="B25" s="6">
        <v>1</v>
      </c>
      <c r="C25" s="4">
        <f t="shared" si="8"/>
        <v>0</v>
      </c>
      <c r="D25" s="6">
        <v>1</v>
      </c>
      <c r="E25" s="6">
        <v>1</v>
      </c>
      <c r="F25" s="4">
        <f t="shared" si="9"/>
        <v>0</v>
      </c>
      <c r="H25" s="6">
        <v>8</v>
      </c>
      <c r="I25" s="6">
        <v>8</v>
      </c>
      <c r="J25" s="4">
        <f t="shared" si="3"/>
        <v>0</v>
      </c>
      <c r="K25" s="6">
        <v>8</v>
      </c>
      <c r="L25" s="6">
        <v>8</v>
      </c>
      <c r="M25" s="10">
        <f t="shared" si="4"/>
        <v>0</v>
      </c>
      <c r="O25" s="6">
        <v>34</v>
      </c>
      <c r="P25" s="6">
        <v>34</v>
      </c>
      <c r="Q25" s="4">
        <f t="shared" si="0"/>
        <v>0</v>
      </c>
      <c r="R25" s="6">
        <v>34</v>
      </c>
      <c r="S25" s="6">
        <v>34</v>
      </c>
      <c r="T25" s="4">
        <f t="shared" si="5"/>
        <v>0</v>
      </c>
      <c r="V25" s="6">
        <v>152</v>
      </c>
      <c r="W25" s="6">
        <v>152</v>
      </c>
      <c r="X25" s="4">
        <f t="shared" si="6"/>
        <v>0</v>
      </c>
      <c r="Y25" s="6">
        <v>706</v>
      </c>
      <c r="Z25" s="6">
        <v>706</v>
      </c>
      <c r="AA25" s="4">
        <f t="shared" si="7"/>
        <v>0</v>
      </c>
    </row>
    <row r="26" spans="1:27" x14ac:dyDescent="0.25">
      <c r="A26" s="6">
        <v>0</v>
      </c>
      <c r="B26" s="6">
        <v>0</v>
      </c>
      <c r="C26" s="4">
        <f t="shared" si="8"/>
        <v>0</v>
      </c>
      <c r="D26" s="6">
        <v>0</v>
      </c>
      <c r="E26" s="6">
        <v>0</v>
      </c>
      <c r="F26" s="4">
        <f t="shared" si="9"/>
        <v>0</v>
      </c>
      <c r="H26" s="6">
        <v>0</v>
      </c>
      <c r="I26" s="6">
        <v>0</v>
      </c>
      <c r="J26" s="4">
        <f t="shared" si="3"/>
        <v>0</v>
      </c>
      <c r="K26" s="6">
        <v>0</v>
      </c>
      <c r="L26" s="6">
        <v>0</v>
      </c>
      <c r="M26" s="10">
        <f t="shared" si="4"/>
        <v>0</v>
      </c>
      <c r="O26" s="6">
        <v>0</v>
      </c>
      <c r="P26" s="6">
        <v>0</v>
      </c>
      <c r="Q26" s="4">
        <f t="shared" si="0"/>
        <v>0</v>
      </c>
      <c r="R26" s="6">
        <v>0</v>
      </c>
      <c r="S26" s="6">
        <v>0</v>
      </c>
      <c r="T26" s="4">
        <f t="shared" si="5"/>
        <v>0</v>
      </c>
      <c r="V26" s="6">
        <v>0</v>
      </c>
      <c r="W26" s="6">
        <v>0</v>
      </c>
      <c r="X26" s="4">
        <f t="shared" si="6"/>
        <v>0</v>
      </c>
      <c r="Y26" s="6">
        <v>0</v>
      </c>
      <c r="Z26" s="6">
        <v>0</v>
      </c>
      <c r="AA26" s="4">
        <f t="shared" si="7"/>
        <v>0</v>
      </c>
    </row>
    <row r="27" spans="1:27" x14ac:dyDescent="0.25">
      <c r="A27" s="6">
        <v>0</v>
      </c>
      <c r="B27" s="6">
        <v>0</v>
      </c>
      <c r="C27" s="4">
        <f t="shared" si="8"/>
        <v>0</v>
      </c>
      <c r="D27" s="6">
        <v>0</v>
      </c>
      <c r="E27" s="6">
        <v>0</v>
      </c>
      <c r="F27" s="4">
        <f t="shared" si="9"/>
        <v>0</v>
      </c>
      <c r="H27" s="6">
        <v>0</v>
      </c>
      <c r="I27" s="6">
        <v>0</v>
      </c>
      <c r="J27" s="4">
        <f t="shared" si="3"/>
        <v>0</v>
      </c>
      <c r="K27" s="6">
        <v>0</v>
      </c>
      <c r="L27" s="6">
        <v>0</v>
      </c>
      <c r="M27" s="10">
        <f t="shared" si="4"/>
        <v>0</v>
      </c>
      <c r="O27" s="6">
        <v>0</v>
      </c>
      <c r="P27" s="6">
        <v>0</v>
      </c>
      <c r="Q27" s="4">
        <f t="shared" si="0"/>
        <v>0</v>
      </c>
      <c r="R27" s="6">
        <v>0</v>
      </c>
      <c r="S27" s="6">
        <v>0</v>
      </c>
      <c r="T27" s="4">
        <f t="shared" si="5"/>
        <v>0</v>
      </c>
      <c r="V27" s="6">
        <v>0</v>
      </c>
      <c r="W27" s="6">
        <v>0</v>
      </c>
      <c r="X27" s="4">
        <f t="shared" si="6"/>
        <v>0</v>
      </c>
      <c r="Y27" s="6">
        <v>0</v>
      </c>
      <c r="Z27" s="6">
        <v>0</v>
      </c>
      <c r="AA27" s="4">
        <f t="shared" si="7"/>
        <v>0</v>
      </c>
    </row>
    <row r="28" spans="1:27" x14ac:dyDescent="0.25">
      <c r="A28" s="6">
        <v>1</v>
      </c>
      <c r="B28" s="6">
        <v>1</v>
      </c>
      <c r="C28" s="4">
        <f t="shared" si="8"/>
        <v>0</v>
      </c>
      <c r="D28" s="6">
        <v>1</v>
      </c>
      <c r="E28" s="6">
        <v>1</v>
      </c>
      <c r="F28" s="4">
        <f t="shared" si="9"/>
        <v>0</v>
      </c>
      <c r="H28" s="6">
        <v>5</v>
      </c>
      <c r="I28" s="6">
        <v>5</v>
      </c>
      <c r="J28" s="4">
        <f t="shared" si="3"/>
        <v>0</v>
      </c>
      <c r="K28" s="6">
        <v>5</v>
      </c>
      <c r="L28" s="6">
        <v>5</v>
      </c>
      <c r="M28" s="10">
        <f t="shared" si="4"/>
        <v>0</v>
      </c>
      <c r="O28" s="6">
        <v>17</v>
      </c>
      <c r="P28" s="6">
        <v>17</v>
      </c>
      <c r="Q28" s="4">
        <f t="shared" si="0"/>
        <v>0</v>
      </c>
      <c r="R28" s="6">
        <v>17</v>
      </c>
      <c r="S28" s="6">
        <v>17</v>
      </c>
      <c r="T28" s="4">
        <f t="shared" si="5"/>
        <v>0</v>
      </c>
      <c r="V28" s="6">
        <v>65</v>
      </c>
      <c r="W28" s="6">
        <v>65</v>
      </c>
      <c r="X28" s="4">
        <f t="shared" si="6"/>
        <v>0</v>
      </c>
      <c r="Y28" s="6">
        <v>257</v>
      </c>
      <c r="Z28" s="6">
        <v>257</v>
      </c>
      <c r="AA28" s="4">
        <f t="shared" si="7"/>
        <v>0</v>
      </c>
    </row>
    <row r="29" spans="1:27" x14ac:dyDescent="0.25">
      <c r="A29" s="6">
        <v>1</v>
      </c>
      <c r="B29" s="6">
        <v>1</v>
      </c>
      <c r="C29" s="4">
        <f t="shared" si="8"/>
        <v>0</v>
      </c>
      <c r="D29" s="6">
        <v>1</v>
      </c>
      <c r="E29" s="6">
        <v>1</v>
      </c>
      <c r="F29" s="4">
        <f t="shared" si="9"/>
        <v>0</v>
      </c>
      <c r="H29" s="6">
        <v>6</v>
      </c>
      <c r="I29" s="6">
        <v>6</v>
      </c>
      <c r="J29" s="4">
        <f t="shared" si="3"/>
        <v>0</v>
      </c>
      <c r="K29" s="6">
        <v>6</v>
      </c>
      <c r="L29" s="6">
        <v>6</v>
      </c>
      <c r="M29" s="10">
        <f t="shared" si="4"/>
        <v>0</v>
      </c>
      <c r="O29" s="6">
        <v>20</v>
      </c>
      <c r="P29" s="6">
        <v>20</v>
      </c>
      <c r="Q29" s="4">
        <f t="shared" si="0"/>
        <v>0</v>
      </c>
      <c r="R29" s="6">
        <v>20</v>
      </c>
      <c r="S29" s="6">
        <v>20</v>
      </c>
      <c r="T29" s="4">
        <f t="shared" si="5"/>
        <v>0</v>
      </c>
      <c r="V29" s="6">
        <v>72</v>
      </c>
      <c r="W29" s="6">
        <v>72</v>
      </c>
      <c r="X29" s="4">
        <f t="shared" si="6"/>
        <v>0</v>
      </c>
      <c r="Y29" s="6">
        <v>272</v>
      </c>
      <c r="Z29" s="6">
        <v>272</v>
      </c>
      <c r="AA29" s="4">
        <f t="shared" si="7"/>
        <v>0</v>
      </c>
    </row>
    <row r="30" spans="1:27" x14ac:dyDescent="0.25">
      <c r="A30" s="6">
        <v>1</v>
      </c>
      <c r="B30" s="6">
        <v>1</v>
      </c>
      <c r="C30" s="4">
        <f t="shared" si="8"/>
        <v>0</v>
      </c>
      <c r="D30" s="6">
        <v>1</v>
      </c>
      <c r="E30" s="6">
        <v>1</v>
      </c>
      <c r="F30" s="4">
        <f t="shared" si="9"/>
        <v>0</v>
      </c>
      <c r="H30" s="6">
        <v>7</v>
      </c>
      <c r="I30" s="6">
        <v>7</v>
      </c>
      <c r="J30" s="4">
        <f t="shared" si="3"/>
        <v>0</v>
      </c>
      <c r="K30" s="6">
        <v>7</v>
      </c>
      <c r="L30" s="6">
        <v>7</v>
      </c>
      <c r="M30" s="10">
        <f t="shared" si="4"/>
        <v>0</v>
      </c>
      <c r="O30" s="6">
        <v>25</v>
      </c>
      <c r="P30" s="6">
        <v>25</v>
      </c>
      <c r="Q30" s="4">
        <f t="shared" si="0"/>
        <v>0</v>
      </c>
      <c r="R30" s="6">
        <v>25</v>
      </c>
      <c r="S30" s="6">
        <v>25</v>
      </c>
      <c r="T30" s="4">
        <f t="shared" si="5"/>
        <v>0</v>
      </c>
      <c r="V30" s="6">
        <v>91</v>
      </c>
      <c r="W30" s="6">
        <v>91</v>
      </c>
      <c r="X30" s="4">
        <f t="shared" si="6"/>
        <v>0</v>
      </c>
      <c r="Y30" s="6">
        <v>337</v>
      </c>
      <c r="Z30" s="6">
        <v>337</v>
      </c>
      <c r="AA30" s="4">
        <f t="shared" si="7"/>
        <v>0</v>
      </c>
    </row>
    <row r="31" spans="1:27" x14ac:dyDescent="0.25">
      <c r="A31" s="6">
        <v>1</v>
      </c>
      <c r="B31" s="6">
        <v>1</v>
      </c>
      <c r="C31" s="4">
        <f t="shared" si="8"/>
        <v>0</v>
      </c>
      <c r="D31" s="6">
        <v>1</v>
      </c>
      <c r="E31" s="6">
        <v>1</v>
      </c>
      <c r="F31" s="4">
        <f t="shared" si="9"/>
        <v>0</v>
      </c>
      <c r="H31" s="6">
        <v>8</v>
      </c>
      <c r="I31" s="6">
        <v>8</v>
      </c>
      <c r="J31" s="4">
        <f t="shared" si="3"/>
        <v>0</v>
      </c>
      <c r="K31" s="6">
        <v>8</v>
      </c>
      <c r="L31" s="6">
        <v>8</v>
      </c>
      <c r="M31" s="10">
        <f t="shared" si="4"/>
        <v>0</v>
      </c>
      <c r="O31" s="6">
        <v>32</v>
      </c>
      <c r="P31" s="6">
        <v>32</v>
      </c>
      <c r="Q31" s="4">
        <f t="shared" si="0"/>
        <v>0</v>
      </c>
      <c r="R31" s="6">
        <v>32.106761565836202</v>
      </c>
      <c r="S31" s="6">
        <v>32</v>
      </c>
      <c r="T31" s="4">
        <f t="shared" si="5"/>
        <v>0.10676156583620156</v>
      </c>
      <c r="V31" s="6">
        <v>128</v>
      </c>
      <c r="W31" s="6">
        <v>128</v>
      </c>
      <c r="X31" s="4">
        <f t="shared" si="6"/>
        <v>0</v>
      </c>
      <c r="Y31" s="6">
        <v>513.37949312572403</v>
      </c>
      <c r="Z31" s="6">
        <v>512</v>
      </c>
      <c r="AA31" s="4">
        <f t="shared" si="7"/>
        <v>1.379493125724025</v>
      </c>
    </row>
    <row r="32" spans="1:27" x14ac:dyDescent="0.25">
      <c r="A32" s="6">
        <v>1</v>
      </c>
      <c r="B32" s="6">
        <v>1</v>
      </c>
      <c r="C32" s="4">
        <f t="shared" si="8"/>
        <v>0</v>
      </c>
      <c r="D32" s="6">
        <v>1</v>
      </c>
      <c r="E32" s="6">
        <v>1</v>
      </c>
      <c r="F32" s="4">
        <f t="shared" si="9"/>
        <v>0</v>
      </c>
      <c r="H32" s="6">
        <v>9</v>
      </c>
      <c r="I32" s="6">
        <v>9</v>
      </c>
      <c r="J32" s="4">
        <f t="shared" si="3"/>
        <v>0</v>
      </c>
      <c r="K32" s="6">
        <v>9</v>
      </c>
      <c r="L32" s="6">
        <v>9</v>
      </c>
      <c r="M32" s="10">
        <f t="shared" si="4"/>
        <v>0</v>
      </c>
      <c r="O32" s="6">
        <v>41</v>
      </c>
      <c r="P32" s="6">
        <v>41</v>
      </c>
      <c r="Q32" s="4">
        <f t="shared" si="0"/>
        <v>0</v>
      </c>
      <c r="R32" s="6">
        <v>41</v>
      </c>
      <c r="S32" s="6">
        <v>41</v>
      </c>
      <c r="T32" s="4">
        <f t="shared" si="5"/>
        <v>0</v>
      </c>
      <c r="V32" s="6">
        <v>189</v>
      </c>
      <c r="W32" s="6">
        <v>189</v>
      </c>
      <c r="X32" s="4">
        <f t="shared" si="6"/>
        <v>0</v>
      </c>
      <c r="Y32" s="6">
        <v>881</v>
      </c>
      <c r="Z32" s="6">
        <v>881</v>
      </c>
      <c r="AA32" s="4">
        <f t="shared" si="7"/>
        <v>0</v>
      </c>
    </row>
    <row r="33" spans="1:27" x14ac:dyDescent="0.25">
      <c r="A33" s="6">
        <v>1</v>
      </c>
      <c r="B33" s="6">
        <v>1</v>
      </c>
      <c r="C33" s="4">
        <f t="shared" si="8"/>
        <v>0</v>
      </c>
      <c r="D33" s="6">
        <v>1</v>
      </c>
      <c r="E33" s="6">
        <v>1</v>
      </c>
      <c r="F33" s="4">
        <f t="shared" si="9"/>
        <v>0</v>
      </c>
      <c r="H33" s="6">
        <v>10</v>
      </c>
      <c r="I33" s="6">
        <v>10</v>
      </c>
      <c r="J33" s="4">
        <f t="shared" si="3"/>
        <v>0</v>
      </c>
      <c r="K33" s="6">
        <v>10</v>
      </c>
      <c r="L33" s="6">
        <v>10</v>
      </c>
      <c r="M33" s="10">
        <f t="shared" si="4"/>
        <v>0</v>
      </c>
      <c r="O33" s="6">
        <v>52</v>
      </c>
      <c r="P33" s="6">
        <v>52</v>
      </c>
      <c r="Q33" s="4">
        <f t="shared" si="0"/>
        <v>0</v>
      </c>
      <c r="R33" s="6">
        <v>52</v>
      </c>
      <c r="S33" s="6">
        <v>52</v>
      </c>
      <c r="T33" s="4">
        <f t="shared" si="5"/>
        <v>0</v>
      </c>
      <c r="V33" s="6">
        <v>280</v>
      </c>
      <c r="W33" s="6">
        <v>280</v>
      </c>
      <c r="X33" s="4">
        <f t="shared" si="6"/>
        <v>0</v>
      </c>
      <c r="Y33" s="6">
        <v>1552</v>
      </c>
      <c r="Z33" s="6">
        <v>1552</v>
      </c>
      <c r="AA33" s="4">
        <f t="shared" si="7"/>
        <v>0</v>
      </c>
    </row>
    <row r="34" spans="1:27" x14ac:dyDescent="0.25">
      <c r="A34" s="6">
        <v>1</v>
      </c>
      <c r="B34" s="6">
        <v>1</v>
      </c>
      <c r="C34" s="4">
        <f t="shared" si="8"/>
        <v>0</v>
      </c>
      <c r="D34" s="6">
        <v>1</v>
      </c>
      <c r="E34" s="6">
        <v>1</v>
      </c>
      <c r="F34" s="4">
        <f t="shared" si="9"/>
        <v>0</v>
      </c>
      <c r="H34" s="6">
        <v>11</v>
      </c>
      <c r="I34" s="6">
        <v>11</v>
      </c>
      <c r="J34" s="4">
        <f t="shared" si="3"/>
        <v>0</v>
      </c>
      <c r="K34" s="6">
        <v>11</v>
      </c>
      <c r="L34" s="6">
        <v>11</v>
      </c>
      <c r="M34" s="10">
        <f t="shared" si="4"/>
        <v>0</v>
      </c>
      <c r="O34" s="6">
        <v>65</v>
      </c>
      <c r="P34" s="6">
        <v>65</v>
      </c>
      <c r="Q34" s="4">
        <f t="shared" si="0"/>
        <v>0</v>
      </c>
      <c r="R34" s="6">
        <v>65</v>
      </c>
      <c r="S34" s="6">
        <v>65</v>
      </c>
      <c r="T34" s="4">
        <f t="shared" si="5"/>
        <v>0</v>
      </c>
      <c r="V34" s="6">
        <v>407</v>
      </c>
      <c r="W34" s="6">
        <v>407</v>
      </c>
      <c r="X34" s="4">
        <f t="shared" si="6"/>
        <v>0</v>
      </c>
      <c r="Y34" s="6">
        <v>2657</v>
      </c>
      <c r="Z34" s="6">
        <v>2657</v>
      </c>
      <c r="AA34" s="4">
        <f t="shared" si="7"/>
        <v>0</v>
      </c>
    </row>
    <row r="35" spans="1:27" x14ac:dyDescent="0.25">
      <c r="A35" s="6">
        <v>1</v>
      </c>
      <c r="B35" s="6">
        <v>1</v>
      </c>
      <c r="C35" s="4">
        <f t="shared" si="8"/>
        <v>0</v>
      </c>
      <c r="D35" s="6">
        <v>1</v>
      </c>
      <c r="E35" s="6">
        <v>1</v>
      </c>
      <c r="F35" s="4">
        <f t="shared" si="9"/>
        <v>0</v>
      </c>
      <c r="H35" s="6">
        <v>6</v>
      </c>
      <c r="I35" s="6">
        <v>6</v>
      </c>
      <c r="J35" s="4">
        <f t="shared" si="3"/>
        <v>0</v>
      </c>
      <c r="K35" s="6">
        <v>6</v>
      </c>
      <c r="L35" s="6">
        <v>6</v>
      </c>
      <c r="M35" s="10">
        <f t="shared" si="4"/>
        <v>0</v>
      </c>
      <c r="O35" s="6">
        <v>26</v>
      </c>
      <c r="P35" s="6">
        <v>26</v>
      </c>
      <c r="Q35" s="4">
        <f t="shared" si="0"/>
        <v>0</v>
      </c>
      <c r="R35" s="6">
        <v>26</v>
      </c>
      <c r="S35" s="6">
        <v>26</v>
      </c>
      <c r="T35" s="4">
        <f t="shared" si="5"/>
        <v>0</v>
      </c>
      <c r="V35" s="6">
        <v>126</v>
      </c>
      <c r="W35" s="6">
        <v>126</v>
      </c>
      <c r="X35" s="4">
        <f t="shared" si="6"/>
        <v>0</v>
      </c>
      <c r="Y35" s="6">
        <v>626</v>
      </c>
      <c r="Z35" s="6">
        <v>626</v>
      </c>
      <c r="AA35" s="4">
        <f t="shared" si="7"/>
        <v>0</v>
      </c>
    </row>
    <row r="36" spans="1:27" x14ac:dyDescent="0.25">
      <c r="A36" s="6">
        <v>1</v>
      </c>
      <c r="B36" s="6">
        <v>1</v>
      </c>
      <c r="C36" s="4">
        <f t="shared" si="8"/>
        <v>0</v>
      </c>
      <c r="D36" s="6">
        <v>1</v>
      </c>
      <c r="E36" s="6">
        <v>1</v>
      </c>
      <c r="F36" s="4">
        <f t="shared" si="9"/>
        <v>0</v>
      </c>
      <c r="H36" s="6">
        <v>7</v>
      </c>
      <c r="I36" s="6">
        <v>7</v>
      </c>
      <c r="J36" s="4">
        <f t="shared" si="3"/>
        <v>0</v>
      </c>
      <c r="K36" s="6">
        <v>6.9999999999999902</v>
      </c>
      <c r="L36" s="6">
        <v>7</v>
      </c>
      <c r="M36" s="10">
        <f t="shared" si="4"/>
        <v>9.7699626167013776E-15</v>
      </c>
      <c r="O36" s="6">
        <v>28.999999999999901</v>
      </c>
      <c r="P36" s="6">
        <v>29</v>
      </c>
      <c r="Q36" s="4">
        <f t="shared" si="0"/>
        <v>9.9475983006414026E-14</v>
      </c>
      <c r="R36" s="6">
        <v>29.367437722419901</v>
      </c>
      <c r="S36" s="6">
        <v>29</v>
      </c>
      <c r="T36" s="4">
        <f t="shared" si="5"/>
        <v>0.36743772241990058</v>
      </c>
      <c r="V36" s="6">
        <v>133</v>
      </c>
      <c r="W36" s="6">
        <v>133</v>
      </c>
      <c r="X36" s="4">
        <f t="shared" si="6"/>
        <v>0</v>
      </c>
      <c r="Y36" s="6">
        <v>642.06708630114201</v>
      </c>
      <c r="Z36" s="6">
        <v>641</v>
      </c>
      <c r="AA36" s="4">
        <f t="shared" si="7"/>
        <v>1.0670863011420124</v>
      </c>
    </row>
    <row r="37" spans="1:27" x14ac:dyDescent="0.25">
      <c r="A37" s="6">
        <v>1</v>
      </c>
      <c r="B37" s="6">
        <v>1</v>
      </c>
      <c r="C37" s="4">
        <f t="shared" si="8"/>
        <v>0</v>
      </c>
      <c r="D37" s="6">
        <v>1</v>
      </c>
      <c r="E37" s="6">
        <v>1</v>
      </c>
      <c r="F37" s="4">
        <f t="shared" si="9"/>
        <v>0</v>
      </c>
      <c r="H37" s="6">
        <v>8</v>
      </c>
      <c r="I37" s="6">
        <v>8</v>
      </c>
      <c r="J37" s="4">
        <f t="shared" si="3"/>
        <v>0</v>
      </c>
      <c r="K37" s="6">
        <v>8</v>
      </c>
      <c r="L37" s="6">
        <v>8</v>
      </c>
      <c r="M37" s="10">
        <f t="shared" si="4"/>
        <v>0</v>
      </c>
      <c r="O37" s="6">
        <v>34</v>
      </c>
      <c r="P37" s="6">
        <v>34</v>
      </c>
      <c r="Q37" s="4">
        <f t="shared" si="0"/>
        <v>0</v>
      </c>
      <c r="R37" s="6">
        <v>34.469750889679702</v>
      </c>
      <c r="S37" s="6">
        <v>34</v>
      </c>
      <c r="T37" s="4">
        <f t="shared" si="5"/>
        <v>0.4697508896797018</v>
      </c>
      <c r="V37" s="6">
        <v>152</v>
      </c>
      <c r="W37" s="6">
        <v>152</v>
      </c>
      <c r="X37" s="4">
        <f t="shared" si="6"/>
        <v>0</v>
      </c>
      <c r="Y37" s="6">
        <v>707.33543150571404</v>
      </c>
      <c r="Z37" s="6">
        <v>706</v>
      </c>
      <c r="AA37" s="4">
        <f t="shared" si="7"/>
        <v>1.3354315057140411</v>
      </c>
    </row>
    <row r="38" spans="1:27" x14ac:dyDescent="0.25">
      <c r="A38" s="6">
        <v>1</v>
      </c>
      <c r="B38" s="6">
        <v>1</v>
      </c>
      <c r="C38" s="4">
        <f t="shared" si="8"/>
        <v>0</v>
      </c>
      <c r="D38" s="6">
        <v>1</v>
      </c>
      <c r="E38" s="6">
        <v>1</v>
      </c>
      <c r="F38" s="4">
        <f t="shared" si="9"/>
        <v>0</v>
      </c>
      <c r="H38" s="6">
        <v>9</v>
      </c>
      <c r="I38" s="6">
        <v>9</v>
      </c>
      <c r="J38" s="4">
        <f t="shared" si="3"/>
        <v>0</v>
      </c>
      <c r="K38" s="6">
        <v>9</v>
      </c>
      <c r="L38" s="6">
        <v>9</v>
      </c>
      <c r="M38" s="10">
        <f t="shared" si="4"/>
        <v>0</v>
      </c>
      <c r="O38" s="6">
        <v>41</v>
      </c>
      <c r="P38" s="6">
        <v>41</v>
      </c>
      <c r="Q38" s="4">
        <f t="shared" si="0"/>
        <v>0</v>
      </c>
      <c r="R38" s="6">
        <v>41.5115658362989</v>
      </c>
      <c r="S38" s="6">
        <v>41</v>
      </c>
      <c r="T38" s="4">
        <f t="shared" si="5"/>
        <v>0.51156583629889951</v>
      </c>
      <c r="V38" s="6">
        <v>189</v>
      </c>
      <c r="W38" s="6">
        <v>189</v>
      </c>
      <c r="X38" s="4">
        <f t="shared" si="6"/>
        <v>0</v>
      </c>
      <c r="Y38" s="6">
        <v>882.61007122743001</v>
      </c>
      <c r="Z38" s="6">
        <v>881</v>
      </c>
      <c r="AA38" s="4">
        <f t="shared" si="7"/>
        <v>1.6100712274300122</v>
      </c>
    </row>
    <row r="39" spans="1:27" x14ac:dyDescent="0.25">
      <c r="A39" s="6">
        <v>1</v>
      </c>
      <c r="B39" s="6">
        <v>1</v>
      </c>
      <c r="C39" s="4">
        <f t="shared" si="8"/>
        <v>0</v>
      </c>
      <c r="D39" s="6">
        <v>1</v>
      </c>
      <c r="E39" s="6">
        <v>1</v>
      </c>
      <c r="F39" s="4">
        <f t="shared" si="9"/>
        <v>0</v>
      </c>
      <c r="H39" s="6">
        <v>10</v>
      </c>
      <c r="I39" s="6">
        <v>10</v>
      </c>
      <c r="J39" s="4">
        <f t="shared" si="3"/>
        <v>0</v>
      </c>
      <c r="K39" s="6">
        <v>10</v>
      </c>
      <c r="L39" s="6">
        <v>10</v>
      </c>
      <c r="M39" s="10">
        <f t="shared" si="4"/>
        <v>0</v>
      </c>
      <c r="O39" s="6">
        <v>50</v>
      </c>
      <c r="P39" s="6">
        <v>50</v>
      </c>
      <c r="Q39" s="4">
        <f t="shared" si="0"/>
        <v>0</v>
      </c>
      <c r="R39" s="6">
        <v>50.469750889679702</v>
      </c>
      <c r="S39" s="6">
        <v>50</v>
      </c>
      <c r="T39" s="4">
        <f t="shared" si="5"/>
        <v>0.4697508896797018</v>
      </c>
      <c r="V39" s="6">
        <v>250</v>
      </c>
      <c r="W39" s="6">
        <v>250</v>
      </c>
      <c r="X39" s="4">
        <f t="shared" si="6"/>
        <v>0</v>
      </c>
      <c r="Y39" s="6">
        <v>1251.3354315057099</v>
      </c>
      <c r="Z39" s="6">
        <v>1250</v>
      </c>
      <c r="AA39" s="4">
        <f t="shared" si="7"/>
        <v>1.3354315057099484</v>
      </c>
    </row>
    <row r="40" spans="1:27" x14ac:dyDescent="0.25">
      <c r="A40" s="6">
        <v>1</v>
      </c>
      <c r="B40" s="6">
        <v>1</v>
      </c>
      <c r="C40" s="4">
        <f t="shared" si="8"/>
        <v>0</v>
      </c>
      <c r="D40" s="6">
        <v>1</v>
      </c>
      <c r="E40" s="6">
        <v>1</v>
      </c>
      <c r="F40" s="4">
        <f t="shared" si="9"/>
        <v>0</v>
      </c>
      <c r="H40" s="6">
        <v>11</v>
      </c>
      <c r="I40" s="6">
        <v>11</v>
      </c>
      <c r="J40" s="4">
        <f t="shared" si="3"/>
        <v>0</v>
      </c>
      <c r="K40" s="6">
        <v>11</v>
      </c>
      <c r="L40" s="6">
        <v>11</v>
      </c>
      <c r="M40" s="10">
        <f t="shared" si="4"/>
        <v>0</v>
      </c>
      <c r="O40" s="6">
        <v>60.999999999999901</v>
      </c>
      <c r="P40" s="6">
        <v>61</v>
      </c>
      <c r="Q40" s="4">
        <f t="shared" si="0"/>
        <v>9.9475983006414026E-14</v>
      </c>
      <c r="R40" s="6">
        <v>61.367437722419901</v>
      </c>
      <c r="S40" s="6">
        <v>61</v>
      </c>
      <c r="T40" s="4">
        <f t="shared" si="5"/>
        <v>0.36743772241990058</v>
      </c>
      <c r="V40" s="6">
        <v>341</v>
      </c>
      <c r="W40" s="6">
        <v>341</v>
      </c>
      <c r="X40" s="4">
        <f t="shared" si="6"/>
        <v>0</v>
      </c>
      <c r="Y40" s="6">
        <v>1922.0670863011401</v>
      </c>
      <c r="Z40" s="6">
        <v>1921</v>
      </c>
      <c r="AA40" s="4">
        <f t="shared" si="7"/>
        <v>1.0670863011400797</v>
      </c>
    </row>
    <row r="41" spans="1:27" x14ac:dyDescent="0.25">
      <c r="A41" s="6">
        <v>1</v>
      </c>
      <c r="B41" s="6">
        <v>1</v>
      </c>
      <c r="C41" s="4">
        <f t="shared" si="8"/>
        <v>0</v>
      </c>
      <c r="D41" s="6">
        <v>1</v>
      </c>
      <c r="E41" s="6">
        <v>1</v>
      </c>
      <c r="F41" s="4">
        <f t="shared" si="9"/>
        <v>0</v>
      </c>
      <c r="H41" s="6">
        <v>12</v>
      </c>
      <c r="I41" s="6">
        <v>12</v>
      </c>
      <c r="J41" s="4">
        <f t="shared" si="3"/>
        <v>0</v>
      </c>
      <c r="K41" s="6">
        <v>12</v>
      </c>
      <c r="L41" s="6">
        <v>12</v>
      </c>
      <c r="M41" s="10">
        <f t="shared" si="4"/>
        <v>0</v>
      </c>
      <c r="O41" s="6">
        <v>74</v>
      </c>
      <c r="P41" s="6">
        <v>74</v>
      </c>
      <c r="Q41" s="4">
        <f t="shared" si="0"/>
        <v>0</v>
      </c>
      <c r="R41" s="6">
        <v>74</v>
      </c>
      <c r="S41" s="6">
        <v>74</v>
      </c>
      <c r="T41" s="4">
        <f t="shared" si="5"/>
        <v>0</v>
      </c>
      <c r="V41" s="6">
        <v>468</v>
      </c>
      <c r="W41" s="6">
        <v>468</v>
      </c>
      <c r="X41" s="4">
        <f t="shared" si="6"/>
        <v>0</v>
      </c>
      <c r="Y41" s="6">
        <v>3026</v>
      </c>
      <c r="Z41" s="6">
        <v>3026</v>
      </c>
      <c r="AA41" s="4">
        <f t="shared" si="7"/>
        <v>0</v>
      </c>
    </row>
    <row r="42" spans="1:27" x14ac:dyDescent="0.25">
      <c r="A42" s="6">
        <v>1</v>
      </c>
      <c r="B42" s="6">
        <v>1</v>
      </c>
      <c r="C42" s="4">
        <f t="shared" si="8"/>
        <v>0</v>
      </c>
      <c r="D42" s="6">
        <v>1</v>
      </c>
      <c r="E42" s="6">
        <v>1</v>
      </c>
      <c r="F42" s="4">
        <f t="shared" si="9"/>
        <v>0</v>
      </c>
      <c r="H42" s="6">
        <v>7</v>
      </c>
      <c r="I42" s="6">
        <v>7</v>
      </c>
      <c r="J42" s="4">
        <f t="shared" si="3"/>
        <v>0</v>
      </c>
      <c r="K42" s="6">
        <v>7</v>
      </c>
      <c r="L42" s="6">
        <v>7</v>
      </c>
      <c r="M42" s="10">
        <f t="shared" si="4"/>
        <v>0</v>
      </c>
      <c r="O42" s="6">
        <v>37</v>
      </c>
      <c r="P42" s="6">
        <v>37</v>
      </c>
      <c r="Q42" s="4">
        <f t="shared" si="0"/>
        <v>0</v>
      </c>
      <c r="R42" s="6">
        <v>37</v>
      </c>
      <c r="S42" s="6">
        <v>37</v>
      </c>
      <c r="T42" s="4">
        <f t="shared" si="5"/>
        <v>0</v>
      </c>
      <c r="V42" s="6">
        <v>217</v>
      </c>
      <c r="W42" s="6">
        <v>217</v>
      </c>
      <c r="X42" s="4">
        <f t="shared" si="6"/>
        <v>0</v>
      </c>
      <c r="Y42" s="6">
        <v>1297</v>
      </c>
      <c r="Z42" s="6">
        <v>1297</v>
      </c>
      <c r="AA42" s="4">
        <f t="shared" si="7"/>
        <v>0</v>
      </c>
    </row>
    <row r="43" spans="1:27" x14ac:dyDescent="0.25">
      <c r="A43" s="6">
        <v>1</v>
      </c>
      <c r="B43" s="6">
        <v>1</v>
      </c>
      <c r="C43" s="4">
        <f t="shared" si="8"/>
        <v>0</v>
      </c>
      <c r="D43" s="6">
        <v>1</v>
      </c>
      <c r="E43" s="6">
        <v>1</v>
      </c>
      <c r="F43" s="4">
        <f t="shared" si="9"/>
        <v>0</v>
      </c>
      <c r="H43" s="6">
        <v>8</v>
      </c>
      <c r="I43" s="6">
        <v>8</v>
      </c>
      <c r="J43" s="4">
        <f t="shared" si="3"/>
        <v>0</v>
      </c>
      <c r="K43" s="6">
        <v>7.9999999999999902</v>
      </c>
      <c r="L43" s="6">
        <v>8</v>
      </c>
      <c r="M43" s="10">
        <f t="shared" si="4"/>
        <v>9.7699626167013776E-15</v>
      </c>
      <c r="O43" s="6">
        <v>40</v>
      </c>
      <c r="P43" s="6">
        <v>40</v>
      </c>
      <c r="Q43" s="4">
        <f t="shared" si="0"/>
        <v>0</v>
      </c>
      <c r="R43" s="6">
        <v>41.367437722419901</v>
      </c>
      <c r="S43" s="6">
        <v>40</v>
      </c>
      <c r="T43" s="4">
        <f t="shared" si="5"/>
        <v>1.3674377224199006</v>
      </c>
      <c r="V43" s="6">
        <v>224</v>
      </c>
      <c r="W43" s="6">
        <v>224</v>
      </c>
      <c r="X43" s="4">
        <f t="shared" si="6"/>
        <v>0</v>
      </c>
      <c r="Y43" s="6">
        <v>1312</v>
      </c>
      <c r="Z43" s="6">
        <v>1312</v>
      </c>
      <c r="AA43" s="4">
        <f t="shared" si="7"/>
        <v>0</v>
      </c>
    </row>
    <row r="44" spans="1:27" x14ac:dyDescent="0.25">
      <c r="A44" s="6">
        <v>1</v>
      </c>
      <c r="B44" s="6">
        <v>1</v>
      </c>
      <c r="C44" s="4">
        <f t="shared" si="8"/>
        <v>0</v>
      </c>
      <c r="D44" s="6">
        <v>1</v>
      </c>
      <c r="E44" s="6">
        <v>1</v>
      </c>
      <c r="F44" s="4">
        <f t="shared" si="9"/>
        <v>0</v>
      </c>
      <c r="H44" s="6">
        <v>9</v>
      </c>
      <c r="I44" s="6">
        <v>9</v>
      </c>
      <c r="J44" s="4">
        <f t="shared" si="3"/>
        <v>0</v>
      </c>
      <c r="K44" s="6">
        <v>9</v>
      </c>
      <c r="L44" s="6">
        <v>9</v>
      </c>
      <c r="M44" s="10">
        <f t="shared" si="4"/>
        <v>0</v>
      </c>
      <c r="O44" s="6">
        <v>45</v>
      </c>
      <c r="P44" s="6">
        <v>45</v>
      </c>
      <c r="Q44" s="4">
        <f t="shared" si="0"/>
        <v>0</v>
      </c>
      <c r="R44" s="6">
        <v>46.469750889679702</v>
      </c>
      <c r="S44" s="6">
        <v>45</v>
      </c>
      <c r="T44" s="4">
        <f t="shared" si="5"/>
        <v>1.4697508896797018</v>
      </c>
      <c r="V44" s="6">
        <v>243</v>
      </c>
      <c r="W44" s="6">
        <v>243</v>
      </c>
      <c r="X44" s="4">
        <f t="shared" si="6"/>
        <v>0</v>
      </c>
      <c r="Y44" s="6">
        <v>1377</v>
      </c>
      <c r="Z44" s="6">
        <v>1377</v>
      </c>
      <c r="AA44" s="4">
        <f t="shared" si="7"/>
        <v>0</v>
      </c>
    </row>
    <row r="45" spans="1:27" x14ac:dyDescent="0.25">
      <c r="A45" s="6">
        <v>1</v>
      </c>
      <c r="B45" s="6">
        <v>1</v>
      </c>
      <c r="C45" s="4">
        <f t="shared" si="8"/>
        <v>0</v>
      </c>
      <c r="D45" s="6">
        <v>1</v>
      </c>
      <c r="E45" s="6">
        <v>1</v>
      </c>
      <c r="F45" s="4">
        <f t="shared" si="9"/>
        <v>0</v>
      </c>
      <c r="H45" s="6">
        <v>10</v>
      </c>
      <c r="I45" s="6">
        <v>10</v>
      </c>
      <c r="J45" s="4">
        <f t="shared" si="3"/>
        <v>0</v>
      </c>
      <c r="K45" s="6">
        <v>10</v>
      </c>
      <c r="L45" s="6">
        <v>10</v>
      </c>
      <c r="M45" s="10">
        <f t="shared" si="4"/>
        <v>0</v>
      </c>
      <c r="O45" s="6">
        <v>52</v>
      </c>
      <c r="P45" s="6">
        <v>52</v>
      </c>
      <c r="Q45" s="4">
        <f t="shared" si="0"/>
        <v>0</v>
      </c>
      <c r="R45" s="6">
        <v>53.5115658362989</v>
      </c>
      <c r="S45" s="6">
        <v>52</v>
      </c>
      <c r="T45" s="4">
        <f t="shared" si="5"/>
        <v>1.5115658362988995</v>
      </c>
      <c r="V45" s="6">
        <v>280</v>
      </c>
      <c r="W45" s="6">
        <v>280</v>
      </c>
      <c r="X45" s="4">
        <f t="shared" si="6"/>
        <v>0</v>
      </c>
      <c r="Y45" s="6">
        <v>1552</v>
      </c>
      <c r="Z45" s="6">
        <v>1552</v>
      </c>
      <c r="AA45" s="4">
        <f t="shared" si="7"/>
        <v>0</v>
      </c>
    </row>
    <row r="46" spans="1:27" x14ac:dyDescent="0.25">
      <c r="A46" s="6">
        <v>1</v>
      </c>
      <c r="B46" s="6">
        <v>1</v>
      </c>
      <c r="C46" s="4">
        <f t="shared" si="8"/>
        <v>0</v>
      </c>
      <c r="D46" s="6">
        <v>1</v>
      </c>
      <c r="E46" s="6">
        <v>1</v>
      </c>
      <c r="F46" s="4">
        <f t="shared" si="9"/>
        <v>0</v>
      </c>
      <c r="H46" s="6">
        <v>11</v>
      </c>
      <c r="I46" s="6">
        <v>11</v>
      </c>
      <c r="J46" s="4">
        <f t="shared" si="3"/>
        <v>0</v>
      </c>
      <c r="K46" s="6">
        <v>11</v>
      </c>
      <c r="L46" s="6">
        <v>11</v>
      </c>
      <c r="M46" s="10">
        <f t="shared" si="4"/>
        <v>0</v>
      </c>
      <c r="O46" s="6">
        <v>61</v>
      </c>
      <c r="P46" s="6">
        <v>61</v>
      </c>
      <c r="Q46" s="4">
        <f t="shared" si="0"/>
        <v>0</v>
      </c>
      <c r="R46" s="6">
        <v>62.469750889679702</v>
      </c>
      <c r="S46" s="6">
        <v>61</v>
      </c>
      <c r="T46" s="4">
        <f t="shared" si="5"/>
        <v>1.4697508896797018</v>
      </c>
      <c r="V46" s="6">
        <v>341</v>
      </c>
      <c r="W46" s="6">
        <v>341</v>
      </c>
      <c r="X46" s="4">
        <f t="shared" si="6"/>
        <v>0</v>
      </c>
      <c r="Y46" s="6">
        <v>1921</v>
      </c>
      <c r="Z46" s="6">
        <v>1921</v>
      </c>
      <c r="AA46" s="4">
        <f t="shared" si="7"/>
        <v>0</v>
      </c>
    </row>
    <row r="47" spans="1:27" x14ac:dyDescent="0.25">
      <c r="A47" s="6">
        <v>1</v>
      </c>
      <c r="B47" s="6">
        <v>1</v>
      </c>
      <c r="C47" s="4">
        <f t="shared" si="8"/>
        <v>0</v>
      </c>
      <c r="D47" s="6">
        <v>1</v>
      </c>
      <c r="E47" s="6">
        <v>1</v>
      </c>
      <c r="F47" s="4">
        <f t="shared" si="9"/>
        <v>0</v>
      </c>
      <c r="H47" s="6">
        <v>12</v>
      </c>
      <c r="I47" s="6">
        <v>12</v>
      </c>
      <c r="J47" s="4">
        <f t="shared" si="3"/>
        <v>0</v>
      </c>
      <c r="K47" s="6">
        <v>12</v>
      </c>
      <c r="L47" s="6">
        <v>12</v>
      </c>
      <c r="M47" s="10">
        <f t="shared" si="4"/>
        <v>0</v>
      </c>
      <c r="O47" s="6">
        <v>72</v>
      </c>
      <c r="P47" s="6">
        <v>72</v>
      </c>
      <c r="Q47" s="4">
        <f t="shared" si="0"/>
        <v>0</v>
      </c>
      <c r="R47" s="6">
        <v>73.367437722419893</v>
      </c>
      <c r="S47" s="6">
        <v>72</v>
      </c>
      <c r="T47" s="4">
        <f t="shared" si="5"/>
        <v>1.3674377224198935</v>
      </c>
      <c r="V47" s="6">
        <v>432</v>
      </c>
      <c r="W47" s="6">
        <v>432</v>
      </c>
      <c r="X47" s="4">
        <f t="shared" si="6"/>
        <v>0</v>
      </c>
      <c r="Y47" s="6">
        <v>2592</v>
      </c>
      <c r="Z47" s="6">
        <v>2592</v>
      </c>
      <c r="AA47" s="4">
        <f t="shared" si="7"/>
        <v>0</v>
      </c>
    </row>
    <row r="48" spans="1:27" x14ac:dyDescent="0.25">
      <c r="A48" s="6">
        <v>1</v>
      </c>
      <c r="B48" s="6">
        <v>1</v>
      </c>
      <c r="C48" s="4">
        <f t="shared" si="8"/>
        <v>0</v>
      </c>
      <c r="D48" s="6">
        <v>1</v>
      </c>
      <c r="E48" s="6">
        <v>1</v>
      </c>
      <c r="F48" s="4">
        <f t="shared" si="9"/>
        <v>0</v>
      </c>
      <c r="H48" s="6">
        <v>13</v>
      </c>
      <c r="I48" s="6">
        <v>13</v>
      </c>
      <c r="J48" s="4">
        <f t="shared" si="3"/>
        <v>0</v>
      </c>
      <c r="K48" s="6">
        <v>13</v>
      </c>
      <c r="L48" s="6">
        <v>13</v>
      </c>
      <c r="M48" s="10">
        <f t="shared" si="4"/>
        <v>0</v>
      </c>
      <c r="O48" s="6">
        <v>85</v>
      </c>
      <c r="P48" s="6">
        <v>85</v>
      </c>
      <c r="Q48" s="4">
        <f t="shared" si="0"/>
        <v>0</v>
      </c>
      <c r="R48" s="6">
        <v>85</v>
      </c>
      <c r="S48" s="6">
        <v>85</v>
      </c>
      <c r="T48" s="4">
        <f t="shared" si="5"/>
        <v>0</v>
      </c>
      <c r="V48" s="6">
        <v>559</v>
      </c>
      <c r="W48" s="6">
        <v>559</v>
      </c>
      <c r="X48" s="4">
        <f t="shared" si="6"/>
        <v>0</v>
      </c>
      <c r="Y48" s="6">
        <v>3697</v>
      </c>
      <c r="Z48" s="6">
        <v>3697</v>
      </c>
      <c r="AA48" s="4">
        <f t="shared" si="7"/>
        <v>0</v>
      </c>
    </row>
    <row r="49" spans="1:35" x14ac:dyDescent="0.25">
      <c r="U49" s="5"/>
      <c r="V49" s="5"/>
      <c r="W49" s="3"/>
      <c r="X49" s="2"/>
      <c r="Y49" s="5"/>
      <c r="Z49" s="5"/>
      <c r="AA49" s="3"/>
      <c r="AB49" s="2"/>
      <c r="AC49" s="5"/>
      <c r="AD49" s="5"/>
      <c r="AE49" s="3"/>
      <c r="AF49" s="9"/>
      <c r="AG49" s="5"/>
      <c r="AH49" s="5"/>
      <c r="AI49" s="3"/>
    </row>
    <row r="50" spans="1:35" x14ac:dyDescent="0.25">
      <c r="X50" s="2"/>
      <c r="AB50" s="2"/>
      <c r="AC50" s="9"/>
      <c r="AD50" s="5"/>
      <c r="AE50" s="5"/>
      <c r="AF50" s="3"/>
    </row>
    <row r="51" spans="1:35" x14ac:dyDescent="0.25">
      <c r="X51" s="2"/>
      <c r="AB51" s="2"/>
      <c r="AC51" s="9"/>
      <c r="AD51" s="5"/>
      <c r="AE51" s="5"/>
      <c r="AF51" s="3"/>
    </row>
    <row r="52" spans="1:35" x14ac:dyDescent="0.25">
      <c r="X52" s="2"/>
      <c r="AB52" s="2"/>
      <c r="AC52" s="9"/>
      <c r="AD52" s="5"/>
      <c r="AE52" s="5"/>
      <c r="AF52" s="3"/>
    </row>
    <row r="53" spans="1:35" x14ac:dyDescent="0.25">
      <c r="X53" s="2"/>
      <c r="AB53" s="2"/>
      <c r="AC53" s="9"/>
      <c r="AD53" s="5"/>
      <c r="AE53" s="5"/>
      <c r="AF53" s="3"/>
    </row>
    <row r="54" spans="1:35" x14ac:dyDescent="0.25">
      <c r="X54" s="2"/>
      <c r="AB54" s="2"/>
      <c r="AC54" s="9"/>
      <c r="AD54" s="5"/>
      <c r="AE54" s="5"/>
      <c r="AF54" s="3"/>
    </row>
    <row r="55" spans="1:35" x14ac:dyDescent="0.25">
      <c r="X55" s="2"/>
      <c r="AB55" s="2"/>
      <c r="AC55" s="9"/>
      <c r="AD55" s="5"/>
      <c r="AE55" s="5"/>
      <c r="AF55" s="3"/>
    </row>
    <row r="56" spans="1:35" x14ac:dyDescent="0.25">
      <c r="X56" s="2"/>
      <c r="AB56" s="2"/>
      <c r="AC56" s="9"/>
      <c r="AD56" s="5"/>
      <c r="AE56" s="5"/>
      <c r="AF56" s="3"/>
    </row>
    <row r="57" spans="1:35" x14ac:dyDescent="0.25">
      <c r="X57" s="2"/>
      <c r="AB57" s="2"/>
      <c r="AC57" s="9"/>
      <c r="AD57" s="5"/>
      <c r="AE57" s="5"/>
      <c r="AF57" s="3"/>
    </row>
    <row r="58" spans="1:35" x14ac:dyDescent="0.25">
      <c r="X58" s="2"/>
      <c r="AB58" s="2"/>
      <c r="AC58" s="9"/>
      <c r="AD58" s="5"/>
      <c r="AE58" s="5"/>
      <c r="AF58" s="3"/>
    </row>
    <row r="59" spans="1:35" x14ac:dyDescent="0.25">
      <c r="A59" s="17" t="s">
        <v>14</v>
      </c>
      <c r="B59" s="17"/>
      <c r="C59" s="17"/>
      <c r="D59" s="17"/>
      <c r="E59" s="17"/>
      <c r="F59" s="17"/>
      <c r="H59" s="16" t="s">
        <v>15</v>
      </c>
      <c r="I59" s="16"/>
      <c r="J59" s="16"/>
      <c r="K59" s="16"/>
      <c r="L59" s="16"/>
      <c r="M59" s="16"/>
      <c r="X59" s="2"/>
      <c r="AB59" s="2"/>
      <c r="AC59" s="9"/>
      <c r="AD59" s="5"/>
      <c r="AE59" s="5"/>
      <c r="AF59" s="3"/>
    </row>
    <row r="60" spans="1:35" x14ac:dyDescent="0.25">
      <c r="A60" s="16" t="s">
        <v>13</v>
      </c>
      <c r="B60" s="16"/>
      <c r="C60" s="16"/>
      <c r="D60" s="16" t="s">
        <v>13</v>
      </c>
      <c r="E60" s="16"/>
      <c r="F60" s="16"/>
      <c r="H60" s="16" t="s">
        <v>13</v>
      </c>
      <c r="I60" s="16"/>
      <c r="J60" s="16"/>
      <c r="K60" s="16" t="s">
        <v>13</v>
      </c>
      <c r="L60" s="16"/>
      <c r="M60" s="16"/>
      <c r="X60" s="2"/>
      <c r="AB60" s="2"/>
      <c r="AC60" s="9"/>
      <c r="AD60" s="5"/>
      <c r="AE60" s="5"/>
      <c r="AF60" s="3"/>
    </row>
    <row r="61" spans="1:35" x14ac:dyDescent="0.25">
      <c r="A61" s="16" t="s">
        <v>3</v>
      </c>
      <c r="B61" s="16"/>
      <c r="C61" s="16"/>
      <c r="D61" s="16" t="s">
        <v>3</v>
      </c>
      <c r="E61" s="16"/>
      <c r="F61" s="16"/>
      <c r="H61" s="16" t="s">
        <v>3</v>
      </c>
      <c r="I61" s="16"/>
      <c r="J61" s="16"/>
      <c r="K61" s="16" t="s">
        <v>3</v>
      </c>
      <c r="L61" s="16"/>
      <c r="M61" s="16"/>
      <c r="X61" s="2"/>
      <c r="AB61" s="2"/>
      <c r="AC61" s="9"/>
      <c r="AD61" s="5"/>
      <c r="AE61" s="5"/>
      <c r="AF61" s="3"/>
    </row>
    <row r="62" spans="1:35" x14ac:dyDescent="0.25">
      <c r="A62" s="16" t="s">
        <v>4</v>
      </c>
      <c r="B62" s="16"/>
      <c r="C62" s="16"/>
      <c r="D62" s="16" t="s">
        <v>12</v>
      </c>
      <c r="E62" s="16"/>
      <c r="F62" s="16"/>
      <c r="H62" s="16" t="s">
        <v>4</v>
      </c>
      <c r="I62" s="16"/>
      <c r="J62" s="16"/>
      <c r="K62" s="16" t="s">
        <v>12</v>
      </c>
      <c r="L62" s="16"/>
      <c r="M62" s="16"/>
      <c r="X62" s="2"/>
      <c r="AB62" s="2"/>
      <c r="AC62" s="9"/>
      <c r="AD62" s="5"/>
      <c r="AE62" s="5"/>
      <c r="AF62" s="3"/>
    </row>
    <row r="63" spans="1:35" x14ac:dyDescent="0.25">
      <c r="A63" s="6" t="s">
        <v>0</v>
      </c>
      <c r="B63" s="6" t="s">
        <v>1</v>
      </c>
      <c r="C63" s="4" t="s">
        <v>17</v>
      </c>
      <c r="D63" s="6" t="s">
        <v>0</v>
      </c>
      <c r="E63" s="6" t="s">
        <v>1</v>
      </c>
      <c r="F63" s="4" t="s">
        <v>17</v>
      </c>
      <c r="H63" s="6" t="s">
        <v>0</v>
      </c>
      <c r="I63" s="6" t="s">
        <v>1</v>
      </c>
      <c r="J63" s="4" t="s">
        <v>17</v>
      </c>
      <c r="K63" s="6" t="s">
        <v>0</v>
      </c>
      <c r="L63" s="6" t="s">
        <v>1</v>
      </c>
      <c r="M63" s="4" t="s">
        <v>17</v>
      </c>
      <c r="X63" s="2"/>
      <c r="AB63" s="2"/>
      <c r="AC63" s="9"/>
      <c r="AD63" s="5"/>
      <c r="AE63" s="5"/>
      <c r="AF63" s="3"/>
    </row>
    <row r="64" spans="1:35" x14ac:dyDescent="0.25">
      <c r="A64" s="6">
        <v>0</v>
      </c>
      <c r="B64" s="6">
        <v>0</v>
      </c>
      <c r="C64" s="4">
        <f>ABS(A64-B64)</f>
        <v>0</v>
      </c>
      <c r="D64" s="11">
        <v>0</v>
      </c>
      <c r="E64" s="6">
        <v>0</v>
      </c>
      <c r="F64" s="4">
        <f>ABS(D64-E64)</f>
        <v>0</v>
      </c>
      <c r="H64" s="11">
        <v>0</v>
      </c>
      <c r="I64" s="11">
        <v>0</v>
      </c>
      <c r="J64" s="4">
        <f>ABS(H64-I64)</f>
        <v>0</v>
      </c>
      <c r="K64" s="11">
        <v>0</v>
      </c>
      <c r="L64" s="11">
        <v>0</v>
      </c>
      <c r="M64" s="4">
        <f>ABS(K64-L64)</f>
        <v>0</v>
      </c>
      <c r="X64" s="2"/>
      <c r="AB64" s="2"/>
      <c r="AC64" s="9"/>
      <c r="AD64" s="5"/>
      <c r="AE64" s="5"/>
      <c r="AF64" s="3"/>
    </row>
    <row r="65" spans="1:35" x14ac:dyDescent="0.25">
      <c r="A65" s="6">
        <v>0</v>
      </c>
      <c r="B65" s="6">
        <v>0</v>
      </c>
      <c r="C65" s="4">
        <f t="shared" ref="C65:C105" si="10">ABS(A65-B65)</f>
        <v>0</v>
      </c>
      <c r="D65" s="11">
        <v>0</v>
      </c>
      <c r="E65" s="6">
        <v>0</v>
      </c>
      <c r="F65" s="4">
        <f t="shared" ref="F65:F105" si="11">ABS(D65-E65)</f>
        <v>0</v>
      </c>
      <c r="H65" s="11">
        <v>0</v>
      </c>
      <c r="I65" s="11">
        <v>0</v>
      </c>
      <c r="J65" s="4">
        <f t="shared" ref="J65" si="12">ABS(H65-I65)</f>
        <v>0</v>
      </c>
      <c r="K65" s="11">
        <v>0</v>
      </c>
      <c r="L65" s="11">
        <v>0</v>
      </c>
      <c r="M65" s="4">
        <f t="shared" ref="M65:M105" si="13">ABS(K65-L65)</f>
        <v>0</v>
      </c>
      <c r="X65" s="2"/>
      <c r="AB65" s="2"/>
      <c r="AC65" s="9"/>
      <c r="AD65" s="5"/>
      <c r="AE65" s="5"/>
      <c r="AF65" s="3"/>
    </row>
    <row r="66" spans="1:35" x14ac:dyDescent="0.25">
      <c r="A66" s="6">
        <v>0.124674733385227</v>
      </c>
      <c r="B66" s="6">
        <v>0.124674733385227</v>
      </c>
      <c r="C66" s="4">
        <f t="shared" si="10"/>
        <v>0</v>
      </c>
      <c r="D66" s="11">
        <v>0.124674733385227</v>
      </c>
      <c r="E66" s="6">
        <v>0.124674733385227</v>
      </c>
      <c r="F66" s="4">
        <f t="shared" si="11"/>
        <v>0</v>
      </c>
      <c r="H66" s="11">
        <v>0.124674733385227</v>
      </c>
      <c r="I66" s="11">
        <v>0.124674733385227</v>
      </c>
      <c r="J66" s="4">
        <f>ABS(H66-I66)</f>
        <v>0</v>
      </c>
      <c r="K66" s="11">
        <v>0.124674733385227</v>
      </c>
      <c r="L66" s="11">
        <v>0.124674733385227</v>
      </c>
      <c r="M66" s="4">
        <f t="shared" si="13"/>
        <v>0</v>
      </c>
      <c r="X66" s="2"/>
      <c r="AB66" s="2"/>
      <c r="AC66" s="9"/>
      <c r="AD66" s="5"/>
      <c r="AE66" s="5"/>
      <c r="AF66" s="3"/>
    </row>
    <row r="67" spans="1:35" x14ac:dyDescent="0.25">
      <c r="A67" s="6">
        <v>0.124674733385227</v>
      </c>
      <c r="B67" s="6">
        <v>0.124674733385227</v>
      </c>
      <c r="C67" s="4">
        <f t="shared" si="10"/>
        <v>0</v>
      </c>
      <c r="D67" s="11">
        <v>0.124674733385227</v>
      </c>
      <c r="E67" s="6">
        <v>0.124674733385227</v>
      </c>
      <c r="F67" s="4">
        <f t="shared" si="11"/>
        <v>0</v>
      </c>
      <c r="H67" s="11">
        <v>0.124674733385227</v>
      </c>
      <c r="I67" s="11">
        <v>0.124674733385227</v>
      </c>
      <c r="J67" s="4">
        <f t="shared" ref="J67:J105" si="14">ABS(H67-I67)</f>
        <v>0</v>
      </c>
      <c r="K67" s="11">
        <v>0.124674733385227</v>
      </c>
      <c r="L67" s="11">
        <v>0.124674733385227</v>
      </c>
      <c r="M67" s="4">
        <f t="shared" si="13"/>
        <v>0</v>
      </c>
      <c r="X67" s="2"/>
      <c r="AB67" s="2"/>
      <c r="AC67" s="9"/>
      <c r="AD67" s="5"/>
      <c r="AE67" s="5"/>
      <c r="AF67" s="3"/>
    </row>
    <row r="68" spans="1:35" x14ac:dyDescent="0.25">
      <c r="A68" s="6">
        <v>0.124674733385227</v>
      </c>
      <c r="B68" s="6">
        <v>0.124674733385227</v>
      </c>
      <c r="C68" s="4">
        <f t="shared" si="10"/>
        <v>0</v>
      </c>
      <c r="D68" s="11">
        <v>0.124674733385227</v>
      </c>
      <c r="E68" s="6">
        <v>0.124674733385227</v>
      </c>
      <c r="F68" s="4">
        <f t="shared" si="11"/>
        <v>0</v>
      </c>
      <c r="H68" s="11">
        <v>0.124674733385227</v>
      </c>
      <c r="I68" s="11">
        <v>0.124674733385227</v>
      </c>
      <c r="J68" s="4">
        <f t="shared" si="14"/>
        <v>0</v>
      </c>
      <c r="K68" s="11">
        <v>0.124674733385227</v>
      </c>
      <c r="L68" s="11">
        <v>0.124674733385227</v>
      </c>
      <c r="M68" s="4">
        <f t="shared" si="13"/>
        <v>0</v>
      </c>
      <c r="X68" s="2"/>
      <c r="AB68" s="2"/>
      <c r="AC68" s="9"/>
      <c r="AD68" s="5"/>
      <c r="AE68" s="5"/>
      <c r="AF68" s="3"/>
    </row>
    <row r="69" spans="1:35" x14ac:dyDescent="0.25">
      <c r="A69" s="6">
        <v>0</v>
      </c>
      <c r="B69" s="6">
        <v>0</v>
      </c>
      <c r="C69" s="4">
        <f t="shared" si="10"/>
        <v>0</v>
      </c>
      <c r="D69" s="11">
        <v>0</v>
      </c>
      <c r="E69" s="6">
        <v>0</v>
      </c>
      <c r="F69" s="4">
        <f t="shared" si="11"/>
        <v>0</v>
      </c>
      <c r="H69" s="11">
        <v>0</v>
      </c>
      <c r="I69" s="11">
        <v>0</v>
      </c>
      <c r="J69" s="4">
        <f t="shared" si="14"/>
        <v>0</v>
      </c>
      <c r="K69" s="11">
        <v>0</v>
      </c>
      <c r="L69" s="11">
        <v>0</v>
      </c>
      <c r="M69" s="4">
        <f t="shared" si="13"/>
        <v>0</v>
      </c>
      <c r="X69" s="2"/>
      <c r="AB69" s="2"/>
      <c r="AC69" s="9"/>
      <c r="AD69" s="5"/>
      <c r="AE69" s="5"/>
      <c r="AF69" s="3"/>
    </row>
    <row r="70" spans="1:35" x14ac:dyDescent="0.25">
      <c r="A70" s="6">
        <v>0</v>
      </c>
      <c r="B70" s="6">
        <v>0</v>
      </c>
      <c r="C70" s="4">
        <f t="shared" si="10"/>
        <v>0</v>
      </c>
      <c r="D70" s="11">
        <v>0</v>
      </c>
      <c r="E70" s="6">
        <v>0</v>
      </c>
      <c r="F70" s="4">
        <f t="shared" si="11"/>
        <v>0</v>
      </c>
      <c r="H70" s="11">
        <v>0</v>
      </c>
      <c r="I70" s="11">
        <v>0</v>
      </c>
      <c r="J70" s="4">
        <f t="shared" si="14"/>
        <v>0</v>
      </c>
      <c r="K70" s="11">
        <v>0</v>
      </c>
      <c r="L70" s="11">
        <v>0</v>
      </c>
      <c r="M70" s="4">
        <f t="shared" si="13"/>
        <v>0</v>
      </c>
      <c r="X70" s="2"/>
      <c r="AB70" s="2"/>
      <c r="AC70" s="9"/>
      <c r="AD70" s="5"/>
      <c r="AE70" s="5"/>
      <c r="AF70" s="3"/>
    </row>
    <row r="71" spans="1:35" x14ac:dyDescent="0.25">
      <c r="A71" s="6">
        <v>0</v>
      </c>
      <c r="B71" s="6">
        <v>0</v>
      </c>
      <c r="C71" s="4">
        <f t="shared" si="10"/>
        <v>0</v>
      </c>
      <c r="D71" s="11">
        <v>0</v>
      </c>
      <c r="E71" s="6">
        <v>0</v>
      </c>
      <c r="F71" s="4">
        <f t="shared" si="11"/>
        <v>0</v>
      </c>
      <c r="H71" s="11">
        <v>0</v>
      </c>
      <c r="I71" s="11">
        <v>0</v>
      </c>
      <c r="J71" s="4">
        <f t="shared" si="14"/>
        <v>0</v>
      </c>
      <c r="K71" s="11">
        <v>0</v>
      </c>
      <c r="L71" s="11">
        <v>0</v>
      </c>
      <c r="M71" s="4">
        <f t="shared" si="13"/>
        <v>0</v>
      </c>
      <c r="X71" s="2"/>
      <c r="AB71" s="2"/>
      <c r="AC71" s="9"/>
      <c r="AD71" s="5"/>
      <c r="AE71" s="5"/>
      <c r="AF71" s="3"/>
    </row>
    <row r="72" spans="1:35" x14ac:dyDescent="0.25">
      <c r="A72" s="6">
        <v>0</v>
      </c>
      <c r="B72" s="6">
        <v>0</v>
      </c>
      <c r="C72" s="4">
        <f t="shared" si="10"/>
        <v>0</v>
      </c>
      <c r="D72" s="11">
        <v>0</v>
      </c>
      <c r="E72" s="6">
        <v>0</v>
      </c>
      <c r="F72" s="4">
        <f t="shared" si="11"/>
        <v>0</v>
      </c>
      <c r="H72" s="11">
        <v>0</v>
      </c>
      <c r="I72" s="11">
        <v>0</v>
      </c>
      <c r="J72" s="4">
        <f t="shared" si="14"/>
        <v>0</v>
      </c>
      <c r="K72" s="11">
        <v>0</v>
      </c>
      <c r="L72" s="11">
        <v>0</v>
      </c>
      <c r="M72" s="4">
        <f t="shared" si="13"/>
        <v>0</v>
      </c>
      <c r="X72" s="2"/>
      <c r="AB72" s="2"/>
      <c r="AC72" s="9"/>
      <c r="AD72" s="5"/>
      <c r="AE72" s="5"/>
      <c r="AF72" s="3"/>
    </row>
    <row r="73" spans="1:35" x14ac:dyDescent="0.25">
      <c r="A73" s="6">
        <v>0.24740395925452199</v>
      </c>
      <c r="B73" s="6">
        <v>0.24740395925452199</v>
      </c>
      <c r="C73" s="4">
        <f t="shared" si="10"/>
        <v>0</v>
      </c>
      <c r="D73" s="11">
        <v>0.24740395925452199</v>
      </c>
      <c r="E73" s="6">
        <v>0.24740395925452199</v>
      </c>
      <c r="F73" s="4">
        <f t="shared" si="11"/>
        <v>0</v>
      </c>
      <c r="H73" s="11">
        <v>0.24740395925452199</v>
      </c>
      <c r="I73" s="11">
        <v>0.24740395925452199</v>
      </c>
      <c r="J73" s="4">
        <f t="shared" si="14"/>
        <v>0</v>
      </c>
      <c r="K73" s="11">
        <v>0.24740395925452199</v>
      </c>
      <c r="L73" s="11">
        <v>0.24740395925452199</v>
      </c>
      <c r="M73" s="4">
        <f t="shared" si="13"/>
        <v>0</v>
      </c>
      <c r="X73" s="2"/>
      <c r="AB73" s="2"/>
      <c r="AC73" s="9"/>
      <c r="AD73" s="5"/>
      <c r="AE73" s="5"/>
      <c r="AF73" s="3"/>
    </row>
    <row r="74" spans="1:35" x14ac:dyDescent="0.25">
      <c r="A74" s="6">
        <v>0.24740545801163999</v>
      </c>
      <c r="B74" s="6">
        <v>0.24740395925452199</v>
      </c>
      <c r="C74" s="12">
        <f t="shared" si="10"/>
        <v>1.4987571179958525E-6</v>
      </c>
      <c r="D74" s="11">
        <v>0.247382877551099</v>
      </c>
      <c r="E74" s="6">
        <v>0.24740395925452199</v>
      </c>
      <c r="F74" s="12">
        <f t="shared" si="11"/>
        <v>2.1081703422992648E-5</v>
      </c>
      <c r="H74" s="11">
        <v>0.24740435982932299</v>
      </c>
      <c r="I74" s="11">
        <v>0.24740395925452199</v>
      </c>
      <c r="J74" s="12">
        <f t="shared" si="14"/>
        <v>4.0057480099608966E-7</v>
      </c>
      <c r="K74" s="11">
        <v>0.24739689010368099</v>
      </c>
      <c r="L74" s="11">
        <v>0.24740395925452199</v>
      </c>
      <c r="M74" s="12">
        <f t="shared" si="13"/>
        <v>7.0691508410047899E-6</v>
      </c>
      <c r="X74" s="2"/>
      <c r="AB74" s="2"/>
      <c r="AC74" s="9"/>
      <c r="AD74" s="5"/>
      <c r="AE74" s="5"/>
      <c r="AF74" s="3"/>
    </row>
    <row r="75" spans="1:35" x14ac:dyDescent="0.25">
      <c r="A75" s="6">
        <v>0.24740395925452199</v>
      </c>
      <c r="B75" s="6">
        <v>0.24740395925452199</v>
      </c>
      <c r="C75" s="4">
        <f t="shared" si="10"/>
        <v>0</v>
      </c>
      <c r="D75" s="11">
        <v>0.24740395925452199</v>
      </c>
      <c r="E75" s="6">
        <v>0.24740395925452199</v>
      </c>
      <c r="F75" s="4">
        <f t="shared" si="11"/>
        <v>0</v>
      </c>
      <c r="H75" s="11">
        <v>0.24740395925452199</v>
      </c>
      <c r="I75" s="11">
        <v>0.24740395925452199</v>
      </c>
      <c r="J75" s="4">
        <f t="shared" si="14"/>
        <v>0</v>
      </c>
      <c r="K75" s="11">
        <v>0.24740395925452199</v>
      </c>
      <c r="L75" s="11">
        <v>0.24740395925452199</v>
      </c>
      <c r="M75" s="4">
        <f t="shared" si="13"/>
        <v>0</v>
      </c>
      <c r="X75" s="2"/>
      <c r="AB75" s="2"/>
      <c r="AC75" s="9"/>
      <c r="AD75" s="5"/>
      <c r="AE75" s="5"/>
      <c r="AF75" s="3"/>
    </row>
    <row r="76" spans="1:35" x14ac:dyDescent="0.25">
      <c r="A76" s="6">
        <v>0</v>
      </c>
      <c r="B76" s="6">
        <v>0</v>
      </c>
      <c r="C76" s="4">
        <f t="shared" si="10"/>
        <v>0</v>
      </c>
      <c r="D76" s="11">
        <v>0</v>
      </c>
      <c r="E76" s="6">
        <v>0</v>
      </c>
      <c r="F76" s="4">
        <f t="shared" si="11"/>
        <v>0</v>
      </c>
      <c r="H76" s="11">
        <v>0</v>
      </c>
      <c r="I76" s="11">
        <v>0</v>
      </c>
      <c r="J76" s="4">
        <f t="shared" si="14"/>
        <v>0</v>
      </c>
      <c r="K76" s="11">
        <v>0</v>
      </c>
      <c r="L76" s="11">
        <v>0</v>
      </c>
      <c r="M76" s="4">
        <f t="shared" si="13"/>
        <v>0</v>
      </c>
      <c r="X76" s="2"/>
      <c r="AB76" s="2"/>
      <c r="AC76" s="9"/>
      <c r="AD76" s="5"/>
      <c r="AE76" s="5"/>
      <c r="AF76" s="3"/>
    </row>
    <row r="77" spans="1:35" x14ac:dyDescent="0.25">
      <c r="A77" s="6">
        <v>0</v>
      </c>
      <c r="B77" s="6">
        <v>0</v>
      </c>
      <c r="C77" s="4">
        <f t="shared" si="10"/>
        <v>0</v>
      </c>
      <c r="D77" s="11">
        <v>0</v>
      </c>
      <c r="E77" s="6">
        <v>0</v>
      </c>
      <c r="F77" s="4">
        <f t="shared" si="11"/>
        <v>0</v>
      </c>
      <c r="H77" s="11">
        <v>0</v>
      </c>
      <c r="I77" s="11">
        <v>0</v>
      </c>
      <c r="J77" s="4">
        <f t="shared" si="14"/>
        <v>0</v>
      </c>
      <c r="K77" s="11">
        <v>0</v>
      </c>
      <c r="L77" s="11">
        <v>0</v>
      </c>
      <c r="M77" s="4">
        <f t="shared" si="13"/>
        <v>0</v>
      </c>
      <c r="X77" s="2"/>
      <c r="AB77" s="2"/>
      <c r="AC77" s="9"/>
      <c r="AD77" s="5"/>
      <c r="AE77" s="5"/>
      <c r="AF77" s="3"/>
    </row>
    <row r="78" spans="1:35" x14ac:dyDescent="0.25">
      <c r="A78" s="6">
        <v>0</v>
      </c>
      <c r="B78" s="6">
        <v>0</v>
      </c>
      <c r="C78" s="4">
        <f t="shared" si="10"/>
        <v>0</v>
      </c>
      <c r="D78" s="11">
        <v>0</v>
      </c>
      <c r="E78" s="6">
        <v>0</v>
      </c>
      <c r="F78" s="4">
        <f t="shared" si="11"/>
        <v>0</v>
      </c>
      <c r="H78" s="11">
        <v>0</v>
      </c>
      <c r="I78" s="11">
        <v>0</v>
      </c>
      <c r="J78" s="4">
        <f t="shared" si="14"/>
        <v>0</v>
      </c>
      <c r="K78" s="11">
        <v>0</v>
      </c>
      <c r="L78" s="11">
        <v>0</v>
      </c>
      <c r="M78" s="4">
        <f t="shared" si="13"/>
        <v>0</v>
      </c>
      <c r="X78" s="2"/>
      <c r="AB78" s="2"/>
      <c r="AC78" s="9"/>
      <c r="AD78" s="5"/>
      <c r="AE78" s="5"/>
      <c r="AF78" s="3"/>
    </row>
    <row r="79" spans="1:35" x14ac:dyDescent="0.25">
      <c r="A79" s="6">
        <v>0</v>
      </c>
      <c r="B79" s="6">
        <v>0</v>
      </c>
      <c r="C79" s="4">
        <f t="shared" si="10"/>
        <v>0</v>
      </c>
      <c r="D79" s="11">
        <v>0</v>
      </c>
      <c r="E79" s="6">
        <v>0</v>
      </c>
      <c r="F79" s="4">
        <f t="shared" si="11"/>
        <v>0</v>
      </c>
      <c r="H79" s="11">
        <v>0</v>
      </c>
      <c r="I79" s="11">
        <v>0</v>
      </c>
      <c r="J79" s="4">
        <f t="shared" si="14"/>
        <v>0</v>
      </c>
      <c r="K79" s="11">
        <v>0</v>
      </c>
      <c r="L79" s="11">
        <v>0</v>
      </c>
      <c r="M79" s="4">
        <f t="shared" si="13"/>
        <v>0</v>
      </c>
      <c r="X79" s="2"/>
      <c r="AB79" s="2"/>
      <c r="AC79" s="5"/>
      <c r="AD79" s="5"/>
      <c r="AE79" s="3"/>
      <c r="AF79" s="9"/>
      <c r="AG79" s="5"/>
      <c r="AH79" s="5"/>
      <c r="AI79" s="3"/>
    </row>
    <row r="80" spans="1:35" x14ac:dyDescent="0.25">
      <c r="A80" s="6">
        <v>0.36627252908604702</v>
      </c>
      <c r="B80" s="6">
        <v>0.36627252908604702</v>
      </c>
      <c r="C80" s="4">
        <f t="shared" si="10"/>
        <v>0</v>
      </c>
      <c r="D80" s="11">
        <v>0.36627252908604702</v>
      </c>
      <c r="E80" s="6">
        <v>0.36627252908604702</v>
      </c>
      <c r="F80" s="4">
        <f t="shared" si="11"/>
        <v>0</v>
      </c>
      <c r="H80" s="11">
        <v>0.36627252908604702</v>
      </c>
      <c r="I80" s="11">
        <v>0.36627252908604702</v>
      </c>
      <c r="J80" s="4">
        <f t="shared" si="14"/>
        <v>0</v>
      </c>
      <c r="K80" s="11">
        <v>0.36627252908604702</v>
      </c>
      <c r="L80" s="11">
        <v>0.36627252908604702</v>
      </c>
      <c r="M80" s="4">
        <f t="shared" si="13"/>
        <v>0</v>
      </c>
      <c r="X80" s="2"/>
      <c r="AB80" s="2"/>
      <c r="AC80" s="5"/>
      <c r="AD80" s="5"/>
      <c r="AE80" s="3"/>
      <c r="AF80" s="9"/>
      <c r="AG80" s="5"/>
      <c r="AH80" s="5"/>
      <c r="AI80" s="3"/>
    </row>
    <row r="81" spans="1:35" x14ac:dyDescent="0.25">
      <c r="A81" s="6">
        <v>0.36627499204605202</v>
      </c>
      <c r="B81" s="6">
        <v>0.36627252908604702</v>
      </c>
      <c r="C81" s="12">
        <f t="shared" si="10"/>
        <v>2.4629600050007916E-6</v>
      </c>
      <c r="D81" s="11">
        <v>0.36616208974335102</v>
      </c>
      <c r="E81" s="6">
        <v>0.36627252908604702</v>
      </c>
      <c r="F81" s="12">
        <f t="shared" si="11"/>
        <v>1.1043934269600042E-4</v>
      </c>
      <c r="H81" s="11">
        <v>0.36627319311661899</v>
      </c>
      <c r="I81" s="11">
        <v>0.36627252908604702</v>
      </c>
      <c r="J81" s="12">
        <f t="shared" si="14"/>
        <v>6.6403057197295112E-7</v>
      </c>
      <c r="K81" s="11">
        <v>0.36622851772008103</v>
      </c>
      <c r="L81" s="11">
        <v>0.36627252908604702</v>
      </c>
      <c r="M81" s="12">
        <f t="shared" si="13"/>
        <v>4.4011365965990201E-5</v>
      </c>
      <c r="X81" s="2"/>
      <c r="AB81" s="2"/>
      <c r="AC81" s="5"/>
      <c r="AD81" s="5"/>
      <c r="AE81" s="3"/>
      <c r="AF81" s="9"/>
      <c r="AG81" s="5"/>
      <c r="AH81" s="5"/>
      <c r="AI81" s="3"/>
    </row>
    <row r="82" spans="1:35" x14ac:dyDescent="0.25">
      <c r="A82" s="6">
        <v>0.36627252908604702</v>
      </c>
      <c r="B82" s="6">
        <v>0.36627252908604702</v>
      </c>
      <c r="C82" s="4">
        <f t="shared" si="10"/>
        <v>0</v>
      </c>
      <c r="D82" s="11">
        <v>0.36627252908604702</v>
      </c>
      <c r="E82" s="6">
        <v>0.36627252908604702</v>
      </c>
      <c r="F82" s="4">
        <f t="shared" si="11"/>
        <v>0</v>
      </c>
      <c r="H82" s="11">
        <v>0.36627252908604702</v>
      </c>
      <c r="I82" s="11">
        <v>0.36627252908604702</v>
      </c>
      <c r="J82" s="4">
        <f t="shared" si="14"/>
        <v>0</v>
      </c>
      <c r="K82" s="11">
        <v>0.36627252908604702</v>
      </c>
      <c r="L82" s="11">
        <v>0.36627252908604702</v>
      </c>
      <c r="M82" s="4">
        <f t="shared" si="13"/>
        <v>0</v>
      </c>
      <c r="X82" s="2"/>
      <c r="AB82" s="2"/>
      <c r="AC82" s="5"/>
      <c r="AD82" s="5"/>
      <c r="AE82" s="3"/>
      <c r="AF82" s="9"/>
      <c r="AG82" s="5"/>
      <c r="AH82" s="5"/>
      <c r="AI82" s="3"/>
    </row>
    <row r="83" spans="1:35" x14ac:dyDescent="0.25">
      <c r="A83" s="6">
        <v>0</v>
      </c>
      <c r="B83" s="6">
        <v>0</v>
      </c>
      <c r="C83" s="4">
        <f t="shared" si="10"/>
        <v>0</v>
      </c>
      <c r="D83" s="11">
        <v>0</v>
      </c>
      <c r="E83" s="6">
        <v>0</v>
      </c>
      <c r="F83" s="4">
        <f t="shared" si="11"/>
        <v>0</v>
      </c>
      <c r="H83" s="11">
        <v>0</v>
      </c>
      <c r="I83" s="11">
        <v>0</v>
      </c>
      <c r="J83" s="4">
        <f t="shared" si="14"/>
        <v>0</v>
      </c>
      <c r="K83" s="11">
        <v>0</v>
      </c>
      <c r="L83" s="11">
        <v>0</v>
      </c>
      <c r="M83" s="4">
        <f t="shared" si="13"/>
        <v>0</v>
      </c>
      <c r="X83" s="2"/>
      <c r="AB83" s="2"/>
      <c r="AC83" s="5"/>
      <c r="AD83" s="5"/>
      <c r="AE83" s="3"/>
      <c r="AF83" s="9"/>
      <c r="AG83" s="5"/>
      <c r="AH83" s="5"/>
      <c r="AI83" s="3"/>
    </row>
    <row r="84" spans="1:35" x14ac:dyDescent="0.25">
      <c r="A84" s="6">
        <v>0</v>
      </c>
      <c r="B84" s="6">
        <v>0</v>
      </c>
      <c r="C84" s="4">
        <f t="shared" si="10"/>
        <v>0</v>
      </c>
      <c r="D84" s="11">
        <v>0</v>
      </c>
      <c r="E84" s="6">
        <v>0</v>
      </c>
      <c r="F84" s="4">
        <f t="shared" si="11"/>
        <v>0</v>
      </c>
      <c r="H84" s="11">
        <v>0</v>
      </c>
      <c r="I84" s="11">
        <v>0</v>
      </c>
      <c r="J84" s="4">
        <f t="shared" si="14"/>
        <v>0</v>
      </c>
      <c r="K84" s="11">
        <v>0</v>
      </c>
      <c r="L84" s="11">
        <v>0</v>
      </c>
      <c r="M84" s="4">
        <f t="shared" si="13"/>
        <v>0</v>
      </c>
      <c r="X84" s="2"/>
      <c r="AB84" s="2"/>
      <c r="AC84" s="5"/>
      <c r="AD84" s="5"/>
      <c r="AE84" s="3"/>
      <c r="AF84" s="9"/>
      <c r="AG84" s="5"/>
      <c r="AH84" s="5"/>
      <c r="AI84" s="3"/>
    </row>
    <row r="85" spans="1:35" x14ac:dyDescent="0.25">
      <c r="A85" s="6">
        <v>0.47942553860420301</v>
      </c>
      <c r="B85" s="6">
        <v>0.47942553860420301</v>
      </c>
      <c r="C85" s="4">
        <f t="shared" si="10"/>
        <v>0</v>
      </c>
      <c r="D85" s="11">
        <v>0.47942553860420301</v>
      </c>
      <c r="E85" s="6">
        <v>0.47942553860420301</v>
      </c>
      <c r="F85" s="4">
        <f t="shared" si="11"/>
        <v>0</v>
      </c>
      <c r="H85" s="11">
        <v>0.47942553860420301</v>
      </c>
      <c r="I85" s="11">
        <v>0.47942553860420301</v>
      </c>
      <c r="J85" s="4">
        <f t="shared" si="14"/>
        <v>0</v>
      </c>
      <c r="K85" s="11">
        <v>0.47942553860420301</v>
      </c>
      <c r="L85" s="11">
        <v>0.47942553860420301</v>
      </c>
      <c r="M85" s="4">
        <f t="shared" si="13"/>
        <v>0</v>
      </c>
      <c r="X85" s="2"/>
      <c r="AB85" s="2"/>
      <c r="AC85" s="5"/>
      <c r="AD85" s="5"/>
      <c r="AE85" s="3"/>
      <c r="AF85" s="9"/>
      <c r="AG85" s="5"/>
      <c r="AH85" s="5"/>
      <c r="AI85" s="3"/>
    </row>
    <row r="86" spans="1:35" x14ac:dyDescent="0.25">
      <c r="A86" s="6">
        <v>0.47942553860420301</v>
      </c>
      <c r="B86" s="6">
        <v>0.47942553860420301</v>
      </c>
      <c r="C86" s="4">
        <f t="shared" si="10"/>
        <v>0</v>
      </c>
      <c r="D86" s="11">
        <v>0.47942553860420301</v>
      </c>
      <c r="E86" s="6">
        <v>0.47942553860420301</v>
      </c>
      <c r="F86" s="4">
        <f t="shared" si="11"/>
        <v>0</v>
      </c>
      <c r="H86" s="11">
        <v>0.47942553860420301</v>
      </c>
      <c r="I86" s="11">
        <v>0.47942553860420301</v>
      </c>
      <c r="J86" s="4">
        <f t="shared" si="14"/>
        <v>0</v>
      </c>
      <c r="K86" s="11">
        <v>0.47942553860420301</v>
      </c>
      <c r="L86" s="11">
        <v>0.47942553860420301</v>
      </c>
      <c r="M86" s="4">
        <f t="shared" si="13"/>
        <v>0</v>
      </c>
      <c r="X86" s="2"/>
      <c r="AB86" s="2"/>
      <c r="AC86" s="5"/>
      <c r="AD86" s="5"/>
      <c r="AE86" s="3"/>
      <c r="AF86" s="9"/>
      <c r="AG86" s="5"/>
      <c r="AH86" s="5"/>
      <c r="AI86" s="3"/>
    </row>
    <row r="87" spans="1:35" x14ac:dyDescent="0.25">
      <c r="A87" s="6">
        <v>0.47942553860420301</v>
      </c>
      <c r="B87" s="6">
        <v>0.47942553860420301</v>
      </c>
      <c r="C87" s="4">
        <f t="shared" si="10"/>
        <v>0</v>
      </c>
      <c r="D87" s="11">
        <v>0.47942553860420301</v>
      </c>
      <c r="E87" s="6">
        <v>0.47942553860420301</v>
      </c>
      <c r="F87" s="4">
        <f t="shared" si="11"/>
        <v>0</v>
      </c>
      <c r="H87" s="11">
        <v>0.47942553860420301</v>
      </c>
      <c r="I87" s="11">
        <v>0.47942553860420301</v>
      </c>
      <c r="J87" s="4">
        <f t="shared" si="14"/>
        <v>0</v>
      </c>
      <c r="K87" s="11">
        <v>0.47942553860420301</v>
      </c>
      <c r="L87" s="11">
        <v>0.47942553860420301</v>
      </c>
      <c r="M87" s="4">
        <f t="shared" si="13"/>
        <v>0</v>
      </c>
      <c r="X87" s="2"/>
      <c r="AB87" s="2"/>
      <c r="AC87" s="5"/>
      <c r="AD87" s="5"/>
      <c r="AE87" s="3"/>
      <c r="AF87" s="9"/>
      <c r="AG87" s="5"/>
      <c r="AH87" s="5"/>
      <c r="AI87" s="3"/>
    </row>
    <row r="88" spans="1:35" x14ac:dyDescent="0.25">
      <c r="A88" s="6">
        <v>0.47942890669350902</v>
      </c>
      <c r="B88" s="6">
        <v>0.47942553860420301</v>
      </c>
      <c r="C88" s="4">
        <f t="shared" si="10"/>
        <v>3.3680893060106243E-6</v>
      </c>
      <c r="D88" s="11">
        <v>0.478886975640544</v>
      </c>
      <c r="E88" s="6">
        <v>0.47942553860420301</v>
      </c>
      <c r="F88" s="12">
        <f t="shared" si="11"/>
        <v>5.3856296365900613E-4</v>
      </c>
      <c r="H88" s="11">
        <v>0.479426519836672</v>
      </c>
      <c r="I88" s="11">
        <v>0.47942553860420301</v>
      </c>
      <c r="J88" s="4">
        <f t="shared" si="14"/>
        <v>9.8123246899950445E-7</v>
      </c>
      <c r="K88" s="11">
        <v>0.47917773946987002</v>
      </c>
      <c r="L88" s="11">
        <v>0.47942553860420301</v>
      </c>
      <c r="M88" s="12">
        <f t="shared" si="13"/>
        <v>2.4779913433298217E-4</v>
      </c>
      <c r="X88" s="2"/>
      <c r="AB88" s="2"/>
      <c r="AC88" s="5"/>
      <c r="AD88" s="5"/>
      <c r="AE88" s="3"/>
      <c r="AF88" s="9"/>
      <c r="AG88" s="5"/>
      <c r="AH88" s="5"/>
      <c r="AI88" s="3"/>
    </row>
    <row r="89" spans="1:35" x14ac:dyDescent="0.25">
      <c r="A89" s="6">
        <v>0.47942553860420301</v>
      </c>
      <c r="B89" s="6">
        <v>0.47942553860420301</v>
      </c>
      <c r="C89" s="4">
        <f t="shared" si="10"/>
        <v>0</v>
      </c>
      <c r="D89" s="11">
        <v>0.47942553860420301</v>
      </c>
      <c r="E89" s="6">
        <v>0.47942553860420301</v>
      </c>
      <c r="F89" s="4">
        <f t="shared" si="11"/>
        <v>0</v>
      </c>
      <c r="H89" s="11">
        <v>0.47942553860420301</v>
      </c>
      <c r="I89" s="11">
        <v>0.47942553860420301</v>
      </c>
      <c r="J89" s="4">
        <f t="shared" si="14"/>
        <v>0</v>
      </c>
      <c r="K89" s="11">
        <v>0.47942553860420301</v>
      </c>
      <c r="L89" s="11">
        <v>0.47942553860420301</v>
      </c>
      <c r="M89" s="4">
        <f t="shared" si="13"/>
        <v>0</v>
      </c>
      <c r="X89" s="2"/>
      <c r="AB89" s="2"/>
      <c r="AC89" s="5"/>
      <c r="AD89" s="5"/>
      <c r="AE89" s="3"/>
      <c r="AF89" s="9"/>
      <c r="AG89" s="5"/>
      <c r="AH89" s="5"/>
      <c r="AI89" s="3"/>
    </row>
    <row r="90" spans="1:35" x14ac:dyDescent="0.25">
      <c r="A90" s="6">
        <v>0.47942553860420301</v>
      </c>
      <c r="B90" s="6">
        <v>0.47942553860420301</v>
      </c>
      <c r="C90" s="4">
        <f t="shared" si="10"/>
        <v>0</v>
      </c>
      <c r="D90" s="11">
        <v>0.47942553860420301</v>
      </c>
      <c r="E90" s="6">
        <v>0.47942553860420301</v>
      </c>
      <c r="F90" s="4">
        <f t="shared" si="11"/>
        <v>0</v>
      </c>
      <c r="H90" s="11">
        <v>0.47942553860420301</v>
      </c>
      <c r="I90" s="11">
        <v>0.47942553860420301</v>
      </c>
      <c r="J90" s="4">
        <f t="shared" si="14"/>
        <v>0</v>
      </c>
      <c r="K90" s="11">
        <v>0.47942553860420301</v>
      </c>
      <c r="L90" s="11">
        <v>0.47942553860420301</v>
      </c>
      <c r="M90" s="4">
        <f t="shared" si="13"/>
        <v>0</v>
      </c>
      <c r="X90" s="2"/>
      <c r="AB90" s="2"/>
      <c r="AC90" s="5"/>
      <c r="AD90" s="5"/>
      <c r="AE90" s="3"/>
      <c r="AF90" s="9"/>
      <c r="AG90" s="5"/>
      <c r="AH90" s="5"/>
      <c r="AI90" s="3"/>
    </row>
    <row r="91" spans="1:35" x14ac:dyDescent="0.25">
      <c r="A91" s="6">
        <v>0.47942553860420301</v>
      </c>
      <c r="B91" s="6">
        <v>0.47942553860420301</v>
      </c>
      <c r="C91" s="4">
        <f t="shared" si="10"/>
        <v>0</v>
      </c>
      <c r="D91" s="11">
        <v>0.47942553860420301</v>
      </c>
      <c r="E91" s="6">
        <v>0.47942553860420301</v>
      </c>
      <c r="F91" s="4">
        <f t="shared" si="11"/>
        <v>0</v>
      </c>
      <c r="H91" s="11">
        <v>0.47942553860420301</v>
      </c>
      <c r="I91" s="11">
        <v>0.47942553860420301</v>
      </c>
      <c r="J91" s="4">
        <f t="shared" si="14"/>
        <v>0</v>
      </c>
      <c r="K91" s="11">
        <v>0.47942553860420301</v>
      </c>
      <c r="L91" s="11">
        <v>0.47942553860420301</v>
      </c>
      <c r="M91" s="4">
        <f t="shared" si="13"/>
        <v>0</v>
      </c>
      <c r="X91" s="2"/>
      <c r="AB91" s="2"/>
      <c r="AC91" s="5"/>
      <c r="AD91" s="5"/>
      <c r="AE91" s="3"/>
      <c r="AF91" s="9"/>
      <c r="AG91" s="5"/>
      <c r="AH91" s="5"/>
      <c r="AI91" s="3"/>
    </row>
    <row r="92" spans="1:35" x14ac:dyDescent="0.25">
      <c r="A92" s="6">
        <v>0.58509727294046199</v>
      </c>
      <c r="B92" s="6">
        <v>0.58509727294046199</v>
      </c>
      <c r="C92" s="4">
        <f t="shared" si="10"/>
        <v>0</v>
      </c>
      <c r="D92" s="11">
        <v>0.58509727294046199</v>
      </c>
      <c r="E92" s="6">
        <v>0.58509727294046199</v>
      </c>
      <c r="F92" s="4">
        <f t="shared" si="11"/>
        <v>0</v>
      </c>
      <c r="H92" s="11">
        <v>0.58509727294046199</v>
      </c>
      <c r="I92" s="11">
        <v>0.58509727294046199</v>
      </c>
      <c r="J92" s="4">
        <f t="shared" si="14"/>
        <v>0</v>
      </c>
      <c r="K92" s="11">
        <v>0.58509727294046199</v>
      </c>
      <c r="L92" s="11">
        <v>0.58509727294046199</v>
      </c>
      <c r="M92" s="4">
        <f t="shared" si="13"/>
        <v>0</v>
      </c>
      <c r="X92" s="2"/>
      <c r="AB92" s="2"/>
      <c r="AC92" s="5"/>
      <c r="AD92" s="5"/>
      <c r="AE92" s="3"/>
      <c r="AF92" s="9"/>
      <c r="AG92" s="5"/>
      <c r="AH92" s="5"/>
      <c r="AI92" s="3"/>
    </row>
    <row r="93" spans="1:35" x14ac:dyDescent="0.25">
      <c r="A93" s="6">
        <v>0.58510044020902696</v>
      </c>
      <c r="B93" s="6">
        <v>0.58509727294046199</v>
      </c>
      <c r="C93" s="12">
        <f t="shared" si="10"/>
        <v>3.1672685649741794E-6</v>
      </c>
      <c r="D93" s="11">
        <v>0.58323497103905697</v>
      </c>
      <c r="E93" s="6">
        <v>0.58509727294046199</v>
      </c>
      <c r="F93" s="12">
        <f t="shared" si="11"/>
        <v>1.8623019014050168E-3</v>
      </c>
      <c r="H93" s="11">
        <v>0.58509813820497902</v>
      </c>
      <c r="I93" s="11">
        <v>0.58509727294046199</v>
      </c>
      <c r="J93" s="12">
        <f t="shared" si="14"/>
        <v>8.6526451703594631E-7</v>
      </c>
      <c r="K93" s="11">
        <v>0.58438302398953801</v>
      </c>
      <c r="L93" s="11">
        <v>0.58509727294046199</v>
      </c>
      <c r="M93" s="12">
        <f t="shared" si="13"/>
        <v>7.1424895092397911E-4</v>
      </c>
      <c r="X93" s="2"/>
      <c r="AB93" s="2"/>
      <c r="AC93" s="5"/>
      <c r="AD93" s="5"/>
      <c r="AE93" s="3"/>
      <c r="AF93" s="9"/>
      <c r="AG93" s="5"/>
      <c r="AH93" s="5"/>
      <c r="AI93" s="3"/>
    </row>
    <row r="94" spans="1:35" x14ac:dyDescent="0.25">
      <c r="A94" s="6">
        <v>0.58510121164698303</v>
      </c>
      <c r="B94" s="6">
        <v>0.58509727294046199</v>
      </c>
      <c r="C94" s="12">
        <f t="shared" si="10"/>
        <v>3.938706521044999E-6</v>
      </c>
      <c r="D94" s="11">
        <v>0.58271654617217905</v>
      </c>
      <c r="E94" s="6">
        <v>0.58509727294046199</v>
      </c>
      <c r="F94" s="12">
        <f t="shared" si="11"/>
        <v>2.3807267682829369E-3</v>
      </c>
      <c r="H94" s="11">
        <v>0.58509835587382797</v>
      </c>
      <c r="I94" s="11">
        <v>0.58509727294046199</v>
      </c>
      <c r="J94" s="12">
        <f t="shared" si="14"/>
        <v>1.0829333659811979E-6</v>
      </c>
      <c r="K94" s="11">
        <v>0.58413138563604095</v>
      </c>
      <c r="L94" s="11">
        <v>0.58509727294046199</v>
      </c>
      <c r="M94" s="12">
        <f t="shared" si="13"/>
        <v>9.6588730442104254E-4</v>
      </c>
      <c r="X94" s="2"/>
      <c r="AB94" s="2"/>
      <c r="AC94" s="5"/>
      <c r="AD94" s="5"/>
      <c r="AE94" s="3"/>
      <c r="AF94" s="9"/>
      <c r="AG94" s="5"/>
      <c r="AH94" s="5"/>
      <c r="AI94" s="3"/>
    </row>
    <row r="95" spans="1:35" x14ac:dyDescent="0.25">
      <c r="A95" s="6">
        <v>0.58510190156819297</v>
      </c>
      <c r="B95" s="6">
        <v>0.58509727294046199</v>
      </c>
      <c r="C95" s="12">
        <f t="shared" si="10"/>
        <v>4.6286277309848245E-6</v>
      </c>
      <c r="D95" s="11">
        <v>0.58250514860607105</v>
      </c>
      <c r="E95" s="6">
        <v>0.58509727294046199</v>
      </c>
      <c r="F95" s="12">
        <f t="shared" si="11"/>
        <v>2.5921243343909328E-3</v>
      </c>
      <c r="H95" s="11">
        <v>0.58509849496226796</v>
      </c>
      <c r="I95" s="11">
        <v>0.58509727294046199</v>
      </c>
      <c r="J95" s="12">
        <f t="shared" si="14"/>
        <v>1.2220218059688648E-6</v>
      </c>
      <c r="K95" s="11">
        <v>0.58405072941726799</v>
      </c>
      <c r="L95" s="11">
        <v>0.58509727294046199</v>
      </c>
      <c r="M95" s="12">
        <f t="shared" si="13"/>
        <v>1.046543523193999E-3</v>
      </c>
      <c r="X95" s="2"/>
      <c r="AB95" s="2"/>
      <c r="AC95" s="5"/>
      <c r="AD95" s="5"/>
      <c r="AE95" s="3"/>
      <c r="AF95" s="9"/>
      <c r="AG95" s="5"/>
      <c r="AH95" s="5"/>
      <c r="AI95" s="3"/>
    </row>
    <row r="96" spans="1:35" x14ac:dyDescent="0.25">
      <c r="A96" s="6">
        <v>0.58510121164698203</v>
      </c>
      <c r="B96" s="6">
        <v>0.58509727294046199</v>
      </c>
      <c r="C96" s="12">
        <f t="shared" si="10"/>
        <v>3.9387065200457982E-6</v>
      </c>
      <c r="D96" s="11">
        <v>0.58271654617217905</v>
      </c>
      <c r="E96" s="6">
        <v>0.58509727294046199</v>
      </c>
      <c r="F96" s="12">
        <f t="shared" si="11"/>
        <v>2.3807267682829369E-3</v>
      </c>
      <c r="H96" s="11">
        <v>0.58509835587382797</v>
      </c>
      <c r="I96" s="11">
        <v>0.58509727294046199</v>
      </c>
      <c r="J96" s="12">
        <f t="shared" si="14"/>
        <v>1.0829333659811979E-6</v>
      </c>
      <c r="K96" s="11">
        <v>0.58413138586956403</v>
      </c>
      <c r="L96" s="11">
        <v>0.58509727294046199</v>
      </c>
      <c r="M96" s="12">
        <f t="shared" si="13"/>
        <v>9.6588707089795278E-4</v>
      </c>
    </row>
    <row r="97" spans="1:19" x14ac:dyDescent="0.25">
      <c r="A97" s="6">
        <v>0.58510044020902696</v>
      </c>
      <c r="B97" s="6">
        <v>0.58509727294046199</v>
      </c>
      <c r="C97" s="12">
        <f t="shared" si="10"/>
        <v>3.1672685649741794E-6</v>
      </c>
      <c r="D97" s="11">
        <v>0.58323497103905697</v>
      </c>
      <c r="E97" s="6">
        <v>0.58509727294046199</v>
      </c>
      <c r="F97" s="12">
        <f t="shared" si="11"/>
        <v>1.8623019014050168E-3</v>
      </c>
      <c r="H97" s="11">
        <v>0.58509813820497902</v>
      </c>
      <c r="I97" s="11">
        <v>0.58509727294046199</v>
      </c>
      <c r="J97" s="12">
        <f t="shared" si="14"/>
        <v>8.6526451703594631E-7</v>
      </c>
      <c r="K97" s="11">
        <v>0.584383024245126</v>
      </c>
      <c r="L97" s="11">
        <v>0.58509727294046199</v>
      </c>
      <c r="M97" s="12">
        <f t="shared" si="13"/>
        <v>7.142486953359839E-4</v>
      </c>
    </row>
    <row r="98" spans="1:19" x14ac:dyDescent="0.25">
      <c r="A98" s="6">
        <v>0.58509727294046199</v>
      </c>
      <c r="B98" s="6">
        <v>0.58509727294046199</v>
      </c>
      <c r="C98" s="4">
        <f t="shared" si="10"/>
        <v>0</v>
      </c>
      <c r="D98" s="11">
        <v>0.58509727294046199</v>
      </c>
      <c r="E98" s="6">
        <v>0.58509727294046199</v>
      </c>
      <c r="F98" s="4">
        <f t="shared" si="11"/>
        <v>0</v>
      </c>
      <c r="H98" s="11">
        <v>0.58509727294046199</v>
      </c>
      <c r="I98" s="11">
        <v>0.58509727294046199</v>
      </c>
      <c r="J98" s="4">
        <f t="shared" si="14"/>
        <v>0</v>
      </c>
      <c r="K98" s="11">
        <v>0.58509727294046199</v>
      </c>
      <c r="L98" s="11">
        <v>0.58509727294046199</v>
      </c>
      <c r="M98" s="4">
        <f t="shared" si="13"/>
        <v>0</v>
      </c>
    </row>
    <row r="99" spans="1:19" x14ac:dyDescent="0.25">
      <c r="A99" s="6">
        <v>0.68163876002333401</v>
      </c>
      <c r="B99" s="6">
        <v>0.68163876002333401</v>
      </c>
      <c r="C99" s="4">
        <f t="shared" si="10"/>
        <v>0</v>
      </c>
      <c r="D99" s="11">
        <v>0.68163876002333401</v>
      </c>
      <c r="E99" s="6">
        <v>0.68163876002333401</v>
      </c>
      <c r="F99" s="4">
        <f t="shared" si="11"/>
        <v>0</v>
      </c>
      <c r="H99" s="11">
        <v>0.68163876002333401</v>
      </c>
      <c r="I99" s="11">
        <v>0.68163876002333401</v>
      </c>
      <c r="J99" s="4">
        <f t="shared" si="14"/>
        <v>0</v>
      </c>
      <c r="K99" s="11">
        <v>0.68163876002333401</v>
      </c>
      <c r="L99" s="11">
        <v>0.68163876002333401</v>
      </c>
      <c r="M99" s="4">
        <f t="shared" si="13"/>
        <v>0</v>
      </c>
    </row>
    <row r="100" spans="1:19" x14ac:dyDescent="0.25">
      <c r="A100" s="6">
        <v>0.68163876002333401</v>
      </c>
      <c r="B100" s="6">
        <v>0.68163876002333401</v>
      </c>
      <c r="C100" s="4">
        <f t="shared" si="10"/>
        <v>0</v>
      </c>
      <c r="D100" s="11">
        <v>0.67469607964828404</v>
      </c>
      <c r="E100" s="6">
        <v>0.68163876002333401</v>
      </c>
      <c r="F100" s="12">
        <f t="shared" si="11"/>
        <v>6.9426803750499699E-3</v>
      </c>
      <c r="H100" s="11">
        <v>0.68163876002333401</v>
      </c>
      <c r="I100" s="11">
        <v>0.68163876002333401</v>
      </c>
      <c r="J100" s="4">
        <f t="shared" si="14"/>
        <v>0</v>
      </c>
      <c r="K100" s="11">
        <v>0.67890967991636797</v>
      </c>
      <c r="L100" s="11">
        <v>0.68163876002333401</v>
      </c>
      <c r="M100" s="12">
        <f t="shared" si="13"/>
        <v>2.729080106966042E-3</v>
      </c>
    </row>
    <row r="101" spans="1:19" x14ac:dyDescent="0.25">
      <c r="A101" s="6">
        <v>0.68163876002333401</v>
      </c>
      <c r="B101" s="6">
        <v>0.68163876002333401</v>
      </c>
      <c r="C101" s="4">
        <f t="shared" si="10"/>
        <v>0</v>
      </c>
      <c r="D101" s="11">
        <v>0.67417765478140601</v>
      </c>
      <c r="E101" s="6">
        <v>0.68163876002333401</v>
      </c>
      <c r="F101" s="12">
        <f t="shared" si="11"/>
        <v>7.4611052419280011E-3</v>
      </c>
      <c r="H101" s="11">
        <v>0.68163876002333401</v>
      </c>
      <c r="I101" s="11">
        <v>0.68163876002333401</v>
      </c>
      <c r="J101" s="4">
        <f t="shared" si="14"/>
        <v>0</v>
      </c>
      <c r="K101" s="11">
        <v>0.67856947538873602</v>
      </c>
      <c r="L101" s="11">
        <v>0.68163876002333401</v>
      </c>
      <c r="M101" s="12">
        <f t="shared" si="13"/>
        <v>3.0692846345979907E-3</v>
      </c>
    </row>
    <row r="102" spans="1:19" x14ac:dyDescent="0.25">
      <c r="A102" s="6">
        <v>0.68163876002333401</v>
      </c>
      <c r="B102" s="6">
        <v>0.68163876002333401</v>
      </c>
      <c r="C102" s="4">
        <f t="shared" si="10"/>
        <v>0</v>
      </c>
      <c r="D102" s="11">
        <v>0.67396625721529901</v>
      </c>
      <c r="E102" s="6">
        <v>0.68163876002333401</v>
      </c>
      <c r="F102" s="12">
        <f t="shared" si="11"/>
        <v>7.6725028080349977E-3</v>
      </c>
      <c r="H102" s="11">
        <v>0.68163876002333401</v>
      </c>
      <c r="I102" s="11">
        <v>0.68163876002333401</v>
      </c>
      <c r="J102" s="4">
        <f t="shared" si="14"/>
        <v>0</v>
      </c>
      <c r="K102" s="11">
        <v>0.67849047928241601</v>
      </c>
      <c r="L102" s="11">
        <v>0.68163876002333401</v>
      </c>
      <c r="M102" s="12">
        <f t="shared" si="13"/>
        <v>3.1482807409179969E-3</v>
      </c>
    </row>
    <row r="103" spans="1:19" x14ac:dyDescent="0.25">
      <c r="A103" s="6">
        <v>0.68163876002333401</v>
      </c>
      <c r="B103" s="6">
        <v>0.68163876002333401</v>
      </c>
      <c r="C103" s="4">
        <f t="shared" si="10"/>
        <v>0</v>
      </c>
      <c r="D103" s="11">
        <v>0.67417765478140601</v>
      </c>
      <c r="E103" s="6">
        <v>0.68163876002333401</v>
      </c>
      <c r="F103" s="12">
        <f t="shared" si="11"/>
        <v>7.4611052419280011E-3</v>
      </c>
      <c r="H103" s="11">
        <v>0.68163876002333401</v>
      </c>
      <c r="I103" s="11">
        <v>0.68163876002333401</v>
      </c>
      <c r="J103" s="4">
        <f t="shared" si="14"/>
        <v>0</v>
      </c>
      <c r="K103" s="11">
        <v>0.67856947565947601</v>
      </c>
      <c r="L103" s="11">
        <v>0.68163876002333401</v>
      </c>
      <c r="M103" s="12">
        <f t="shared" si="13"/>
        <v>3.0692843638580047E-3</v>
      </c>
    </row>
    <row r="104" spans="1:19" x14ac:dyDescent="0.25">
      <c r="A104" s="6">
        <v>0.68163876002333401</v>
      </c>
      <c r="B104" s="6">
        <v>0.68163876002333401</v>
      </c>
      <c r="C104" s="4">
        <f t="shared" si="10"/>
        <v>0</v>
      </c>
      <c r="D104" s="11">
        <v>0.67469607964828404</v>
      </c>
      <c r="E104" s="6">
        <v>0.68163876002333401</v>
      </c>
      <c r="F104" s="12">
        <f t="shared" si="11"/>
        <v>6.9426803750499699E-3</v>
      </c>
      <c r="H104" s="11">
        <v>0.68163876002333401</v>
      </c>
      <c r="I104" s="11">
        <v>0.68163876002333401</v>
      </c>
      <c r="J104" s="4">
        <f t="shared" si="14"/>
        <v>0</v>
      </c>
      <c r="K104" s="11">
        <v>0.67890968021950904</v>
      </c>
      <c r="L104" s="11">
        <v>0.68163876002333401</v>
      </c>
      <c r="M104" s="12">
        <f t="shared" si="13"/>
        <v>2.7290798038249742E-3</v>
      </c>
    </row>
    <row r="105" spans="1:19" ht="15.75" thickBot="1" x14ac:dyDescent="0.3">
      <c r="A105" s="7">
        <v>0.68163876002333401</v>
      </c>
      <c r="B105" s="7">
        <v>0.68163876002333401</v>
      </c>
      <c r="C105" s="8">
        <f t="shared" si="10"/>
        <v>0</v>
      </c>
      <c r="D105" s="7">
        <v>0.68163876002333401</v>
      </c>
      <c r="E105" s="7">
        <v>0.68163876002333401</v>
      </c>
      <c r="F105" s="8">
        <f t="shared" si="11"/>
        <v>0</v>
      </c>
      <c r="H105" s="7">
        <v>0.68163876002333401</v>
      </c>
      <c r="I105" s="7">
        <v>0.68163876002333401</v>
      </c>
      <c r="J105" s="8">
        <f t="shared" si="14"/>
        <v>0</v>
      </c>
      <c r="K105" s="7">
        <v>0.68163876002333401</v>
      </c>
      <c r="L105" s="7">
        <v>0.68163876002333401</v>
      </c>
      <c r="M105" s="8">
        <f t="shared" si="13"/>
        <v>0</v>
      </c>
    </row>
    <row r="106" spans="1:19" x14ac:dyDescent="0.25">
      <c r="A106" s="22" t="s">
        <v>18</v>
      </c>
      <c r="B106" s="23"/>
      <c r="C106" s="23"/>
      <c r="D106" s="23" t="s">
        <v>18</v>
      </c>
      <c r="E106" s="23"/>
      <c r="F106" s="24"/>
      <c r="H106" s="17" t="s">
        <v>18</v>
      </c>
      <c r="I106" s="17"/>
      <c r="J106" s="17"/>
      <c r="K106" s="17" t="s">
        <v>18</v>
      </c>
      <c r="L106" s="17"/>
      <c r="M106" s="17"/>
      <c r="P106"/>
      <c r="Q106"/>
      <c r="R106"/>
      <c r="S106"/>
    </row>
    <row r="107" spans="1:19" ht="15.75" thickBot="1" x14ac:dyDescent="0.3">
      <c r="A107" s="25">
        <f>SQRT(SUMSQ(C64:C104))</f>
        <v>9.6005553779769681E-6</v>
      </c>
      <c r="B107" s="26"/>
      <c r="C107" s="26"/>
      <c r="D107" s="26">
        <f>SQRT(SUMSQ(F64:F104))</f>
        <v>1.7085050785220286E-2</v>
      </c>
      <c r="E107" s="26"/>
      <c r="F107" s="27"/>
      <c r="H107" s="17">
        <f>SQRT(SUMSQ(J64:J104))</f>
        <v>2.626862376178791E-6</v>
      </c>
      <c r="I107" s="17"/>
      <c r="J107" s="17"/>
      <c r="K107" s="17">
        <f>SQRT(SUMSQ(M64:M104))</f>
        <v>6.9060310392669751E-3</v>
      </c>
      <c r="L107" s="17"/>
      <c r="M107" s="17"/>
      <c r="P107"/>
      <c r="Q107"/>
      <c r="R107"/>
      <c r="S107"/>
    </row>
    <row r="108" spans="1:19" x14ac:dyDescent="0.25">
      <c r="K108" s="3"/>
      <c r="L108" s="9"/>
      <c r="P108"/>
      <c r="Q108"/>
      <c r="R108"/>
      <c r="S108"/>
    </row>
    <row r="109" spans="1:19" x14ac:dyDescent="0.25">
      <c r="K109" s="3"/>
      <c r="L109" s="9"/>
      <c r="P109"/>
      <c r="Q109"/>
      <c r="R109"/>
      <c r="S109"/>
    </row>
    <row r="110" spans="1:19" x14ac:dyDescent="0.25">
      <c r="A110" s="21">
        <f>LOG(A107/H107,2)</f>
        <v>1.86977724774486</v>
      </c>
      <c r="B110" s="21"/>
      <c r="C110" s="21"/>
      <c r="D110" s="21"/>
      <c r="E110" s="21"/>
      <c r="F110" s="21"/>
      <c r="H110" s="21">
        <f>LOG(D107/K107,2)</f>
        <v>1.3068058126422484</v>
      </c>
      <c r="I110" s="21"/>
      <c r="J110" s="21"/>
      <c r="K110" s="21"/>
      <c r="L110" s="21"/>
      <c r="M110" s="21"/>
      <c r="P110"/>
      <c r="Q110"/>
      <c r="R110"/>
      <c r="S110"/>
    </row>
    <row r="111" spans="1:19" x14ac:dyDescent="0.25">
      <c r="K111" s="3"/>
      <c r="L111" s="9"/>
      <c r="P111"/>
      <c r="Q111"/>
      <c r="R111"/>
      <c r="S111"/>
    </row>
    <row r="112" spans="1:19" x14ac:dyDescent="0.25">
      <c r="K112" s="3"/>
      <c r="L112" s="9"/>
      <c r="P112"/>
      <c r="Q112"/>
      <c r="R112"/>
      <c r="S112"/>
    </row>
    <row r="113" spans="11:19" x14ac:dyDescent="0.25">
      <c r="K113" s="3"/>
      <c r="L113" s="9"/>
      <c r="P113"/>
      <c r="Q113"/>
      <c r="R113"/>
      <c r="S113"/>
    </row>
    <row r="114" spans="11:19" x14ac:dyDescent="0.25">
      <c r="K114" s="3"/>
      <c r="L114" s="9"/>
      <c r="P114"/>
      <c r="Q114"/>
      <c r="R114"/>
      <c r="S114"/>
    </row>
    <row r="115" spans="11:19" x14ac:dyDescent="0.25">
      <c r="K115" s="3"/>
      <c r="L115" s="9"/>
      <c r="P115"/>
      <c r="Q115"/>
      <c r="R115"/>
      <c r="S115"/>
    </row>
    <row r="116" spans="11:19" x14ac:dyDescent="0.25">
      <c r="K116" s="3"/>
      <c r="L116" s="9"/>
      <c r="P116"/>
      <c r="Q116"/>
      <c r="R116"/>
      <c r="S116"/>
    </row>
    <row r="117" spans="11:19" x14ac:dyDescent="0.25">
      <c r="K117" s="3"/>
      <c r="L117" s="9"/>
      <c r="P117"/>
      <c r="Q117"/>
      <c r="R117"/>
      <c r="S117"/>
    </row>
    <row r="118" spans="11:19" x14ac:dyDescent="0.25">
      <c r="K118" s="3"/>
      <c r="L118" s="9"/>
      <c r="P118"/>
      <c r="Q118"/>
      <c r="R118"/>
      <c r="S118"/>
    </row>
    <row r="119" spans="11:19" x14ac:dyDescent="0.25">
      <c r="K119" s="3"/>
      <c r="L119" s="9"/>
      <c r="P119"/>
      <c r="Q119"/>
      <c r="R119"/>
      <c r="S119"/>
    </row>
    <row r="120" spans="11:19" x14ac:dyDescent="0.25">
      <c r="K120" s="3"/>
      <c r="L120" s="9"/>
      <c r="P120"/>
      <c r="Q120"/>
      <c r="R120"/>
      <c r="S120"/>
    </row>
    <row r="121" spans="11:19" x14ac:dyDescent="0.25">
      <c r="K121" s="3"/>
      <c r="L121" s="9"/>
      <c r="P121"/>
      <c r="Q121"/>
      <c r="R121"/>
      <c r="S121"/>
    </row>
    <row r="122" spans="11:19" x14ac:dyDescent="0.25">
      <c r="K122" s="3"/>
      <c r="L122" s="9"/>
      <c r="P122"/>
      <c r="Q122"/>
      <c r="R122"/>
      <c r="S122"/>
    </row>
    <row r="123" spans="11:19" x14ac:dyDescent="0.25">
      <c r="K123" s="3"/>
      <c r="L123" s="9"/>
      <c r="P123"/>
      <c r="Q123"/>
      <c r="R123"/>
      <c r="S123"/>
    </row>
    <row r="124" spans="11:19" x14ac:dyDescent="0.25">
      <c r="K124" s="3"/>
      <c r="L124" s="9"/>
      <c r="P124"/>
      <c r="Q124"/>
      <c r="R124"/>
      <c r="S124"/>
    </row>
    <row r="125" spans="11:19" x14ac:dyDescent="0.25">
      <c r="K125" s="3"/>
      <c r="L125" s="9"/>
      <c r="P125"/>
      <c r="Q125"/>
      <c r="R125"/>
      <c r="S125"/>
    </row>
    <row r="126" spans="11:19" x14ac:dyDescent="0.25">
      <c r="K126" s="3"/>
      <c r="L126" s="9"/>
      <c r="P126"/>
      <c r="Q126"/>
      <c r="R126"/>
      <c r="S126"/>
    </row>
    <row r="127" spans="11:19" x14ac:dyDescent="0.25">
      <c r="K127" s="3"/>
      <c r="L127" s="9"/>
      <c r="P127"/>
      <c r="Q127"/>
      <c r="R127"/>
      <c r="S127"/>
    </row>
    <row r="128" spans="11:19" x14ac:dyDescent="0.25">
      <c r="K128" s="3"/>
      <c r="L128" s="9"/>
      <c r="P128"/>
      <c r="Q128"/>
      <c r="R128"/>
      <c r="S128"/>
    </row>
    <row r="129" spans="11:19" x14ac:dyDescent="0.25">
      <c r="K129" s="3"/>
      <c r="L129" s="9"/>
      <c r="P129"/>
      <c r="Q129"/>
      <c r="R129"/>
      <c r="S129"/>
    </row>
    <row r="130" spans="11:19" x14ac:dyDescent="0.25">
      <c r="K130" s="3"/>
      <c r="L130" s="9"/>
      <c r="P130"/>
      <c r="Q130"/>
      <c r="R130"/>
      <c r="S130"/>
    </row>
    <row r="131" spans="11:19" x14ac:dyDescent="0.25">
      <c r="K131" s="3"/>
      <c r="L131" s="9"/>
      <c r="P131"/>
      <c r="Q131"/>
      <c r="R131"/>
      <c r="S131"/>
    </row>
    <row r="132" spans="11:19" x14ac:dyDescent="0.25">
      <c r="K132" s="3"/>
      <c r="L132" s="9"/>
      <c r="P132"/>
      <c r="Q132"/>
      <c r="R132"/>
      <c r="S132"/>
    </row>
    <row r="133" spans="11:19" x14ac:dyDescent="0.25">
      <c r="K133" s="3"/>
      <c r="L133" s="9"/>
      <c r="P133"/>
      <c r="Q133"/>
      <c r="R133"/>
      <c r="S133"/>
    </row>
    <row r="134" spans="11:19" x14ac:dyDescent="0.25">
      <c r="K134" s="3"/>
      <c r="L134" s="9"/>
      <c r="P134"/>
      <c r="Q134"/>
      <c r="R134"/>
      <c r="S134"/>
    </row>
    <row r="135" spans="11:19" x14ac:dyDescent="0.25">
      <c r="K135" s="3"/>
      <c r="L135" s="9"/>
      <c r="P135"/>
      <c r="Q135"/>
      <c r="R135"/>
      <c r="S135"/>
    </row>
    <row r="136" spans="11:19" x14ac:dyDescent="0.25">
      <c r="K136" s="3"/>
      <c r="L136" s="9"/>
      <c r="P136"/>
      <c r="Q136"/>
      <c r="R136"/>
      <c r="S136"/>
    </row>
    <row r="137" spans="11:19" x14ac:dyDescent="0.25">
      <c r="K137" s="3"/>
      <c r="L137" s="9"/>
      <c r="P137"/>
      <c r="Q137"/>
      <c r="R137"/>
      <c r="S137"/>
    </row>
    <row r="138" spans="11:19" x14ac:dyDescent="0.25">
      <c r="K138" s="3"/>
      <c r="L138" s="9"/>
      <c r="P138"/>
      <c r="Q138"/>
      <c r="R138"/>
      <c r="S138"/>
    </row>
    <row r="139" spans="11:19" x14ac:dyDescent="0.25">
      <c r="K139" s="3"/>
      <c r="L139" s="9"/>
      <c r="P139"/>
      <c r="Q139"/>
      <c r="R139"/>
      <c r="S139"/>
    </row>
    <row r="140" spans="11:19" x14ac:dyDescent="0.25">
      <c r="K140" s="3"/>
      <c r="L140" s="9"/>
      <c r="P140"/>
      <c r="Q140"/>
      <c r="R140"/>
      <c r="S140"/>
    </row>
    <row r="141" spans="11:19" x14ac:dyDescent="0.25">
      <c r="K141" s="3"/>
      <c r="L141" s="9"/>
      <c r="P141"/>
      <c r="Q141"/>
      <c r="R141"/>
      <c r="S141"/>
    </row>
    <row r="142" spans="11:19" x14ac:dyDescent="0.25">
      <c r="K142" s="3"/>
      <c r="L142" s="9"/>
      <c r="P142"/>
      <c r="Q142"/>
      <c r="R142"/>
      <c r="S142"/>
    </row>
    <row r="143" spans="11:19" x14ac:dyDescent="0.25">
      <c r="K143" s="3"/>
      <c r="L143" s="9"/>
      <c r="P143"/>
      <c r="Q143"/>
      <c r="R143"/>
      <c r="S143"/>
    </row>
    <row r="144" spans="11:19" x14ac:dyDescent="0.25">
      <c r="K144" s="3"/>
      <c r="L144" s="9"/>
      <c r="P144"/>
      <c r="Q144"/>
      <c r="R144"/>
      <c r="S144"/>
    </row>
    <row r="145" spans="11:19" x14ac:dyDescent="0.25">
      <c r="K145" s="3"/>
      <c r="L145" s="9"/>
      <c r="P145"/>
      <c r="Q145"/>
      <c r="R145"/>
      <c r="S145"/>
    </row>
    <row r="146" spans="11:19" x14ac:dyDescent="0.25">
      <c r="K146" s="3"/>
      <c r="L146" s="9"/>
      <c r="P146"/>
      <c r="Q146"/>
      <c r="R146"/>
      <c r="S146"/>
    </row>
    <row r="147" spans="11:19" x14ac:dyDescent="0.25">
      <c r="K147" s="3"/>
      <c r="L147" s="9"/>
      <c r="P147"/>
      <c r="Q147"/>
      <c r="R147"/>
      <c r="S147"/>
    </row>
    <row r="148" spans="11:19" x14ac:dyDescent="0.25">
      <c r="K148" s="3"/>
      <c r="L148" s="9"/>
      <c r="P148"/>
      <c r="Q148"/>
      <c r="R148"/>
      <c r="S148"/>
    </row>
    <row r="149" spans="11:19" x14ac:dyDescent="0.25">
      <c r="K149" s="3"/>
      <c r="L149" s="9"/>
      <c r="P149"/>
      <c r="Q149"/>
      <c r="R149"/>
      <c r="S149"/>
    </row>
    <row r="150" spans="11:19" x14ac:dyDescent="0.25">
      <c r="K150" s="3"/>
      <c r="L150" s="9"/>
      <c r="P150"/>
      <c r="Q150"/>
      <c r="R150"/>
      <c r="S150"/>
    </row>
    <row r="151" spans="11:19" x14ac:dyDescent="0.25">
      <c r="K151" s="3"/>
      <c r="L151" s="9"/>
      <c r="P151"/>
      <c r="Q151"/>
      <c r="R151"/>
      <c r="S151"/>
    </row>
    <row r="152" spans="11:19" x14ac:dyDescent="0.25">
      <c r="K152" s="3"/>
      <c r="L152" s="9"/>
      <c r="P152"/>
      <c r="Q152"/>
      <c r="R152"/>
      <c r="S152"/>
    </row>
    <row r="153" spans="11:19" x14ac:dyDescent="0.25">
      <c r="K153" s="3"/>
      <c r="L153" s="9"/>
      <c r="P153"/>
      <c r="Q153"/>
      <c r="R153"/>
      <c r="S153"/>
    </row>
    <row r="154" spans="11:19" x14ac:dyDescent="0.25">
      <c r="K154" s="3"/>
      <c r="L154" s="9"/>
      <c r="P154"/>
      <c r="Q154"/>
      <c r="R154"/>
      <c r="S154"/>
    </row>
    <row r="155" spans="11:19" x14ac:dyDescent="0.25">
      <c r="K155" s="3"/>
      <c r="L155" s="9"/>
      <c r="P155"/>
      <c r="Q155"/>
      <c r="R155"/>
      <c r="S155"/>
    </row>
    <row r="156" spans="11:19" x14ac:dyDescent="0.25">
      <c r="K156" s="3"/>
      <c r="L156" s="9"/>
      <c r="P156"/>
      <c r="Q156"/>
      <c r="R156"/>
      <c r="S156"/>
    </row>
    <row r="157" spans="11:19" x14ac:dyDescent="0.25">
      <c r="K157" s="3"/>
      <c r="L157" s="9"/>
      <c r="P157"/>
      <c r="Q157"/>
      <c r="R157"/>
      <c r="S157"/>
    </row>
    <row r="158" spans="11:19" x14ac:dyDescent="0.25">
      <c r="K158" s="3"/>
      <c r="L158" s="9"/>
      <c r="P158"/>
      <c r="Q158"/>
      <c r="R158"/>
      <c r="S158"/>
    </row>
    <row r="159" spans="11:19" x14ac:dyDescent="0.25">
      <c r="K159" s="3"/>
      <c r="L159" s="9"/>
      <c r="P159"/>
      <c r="Q159"/>
      <c r="R159"/>
      <c r="S159"/>
    </row>
    <row r="160" spans="11:19" x14ac:dyDescent="0.25">
      <c r="K160" s="3"/>
      <c r="L160" s="9"/>
      <c r="P160"/>
      <c r="Q160"/>
      <c r="R160"/>
      <c r="S160"/>
    </row>
    <row r="161" spans="11:19" x14ac:dyDescent="0.25">
      <c r="K161" s="3"/>
      <c r="L161" s="9"/>
      <c r="P161"/>
      <c r="Q161"/>
      <c r="R161"/>
      <c r="S161"/>
    </row>
    <row r="162" spans="11:19" x14ac:dyDescent="0.25">
      <c r="K162" s="3"/>
      <c r="L162" s="9"/>
      <c r="P162"/>
      <c r="Q162"/>
      <c r="R162"/>
      <c r="S162"/>
    </row>
    <row r="163" spans="11:19" x14ac:dyDescent="0.25">
      <c r="K163" s="3"/>
      <c r="L163" s="9"/>
      <c r="P163"/>
      <c r="Q163"/>
      <c r="R163"/>
      <c r="S163"/>
    </row>
    <row r="164" spans="11:19" x14ac:dyDescent="0.25">
      <c r="K164" s="3"/>
      <c r="L164" s="9"/>
      <c r="P164"/>
      <c r="Q164"/>
      <c r="R164"/>
      <c r="S164"/>
    </row>
    <row r="165" spans="11:19" x14ac:dyDescent="0.25">
      <c r="K165" s="3"/>
      <c r="L165" s="9"/>
      <c r="P165"/>
      <c r="Q165"/>
      <c r="R165"/>
      <c r="S165"/>
    </row>
    <row r="166" spans="11:19" x14ac:dyDescent="0.25">
      <c r="K166" s="3"/>
      <c r="L166" s="9"/>
      <c r="P166"/>
      <c r="Q166"/>
      <c r="R166"/>
      <c r="S166"/>
    </row>
    <row r="167" spans="11:19" x14ac:dyDescent="0.25">
      <c r="K167" s="3"/>
      <c r="L167" s="9"/>
      <c r="P167"/>
      <c r="Q167"/>
      <c r="R167"/>
      <c r="S167"/>
    </row>
    <row r="168" spans="11:19" x14ac:dyDescent="0.25">
      <c r="K168" s="3"/>
      <c r="L168" s="9"/>
      <c r="P168"/>
      <c r="Q168"/>
      <c r="R168"/>
      <c r="S168"/>
    </row>
    <row r="169" spans="11:19" x14ac:dyDescent="0.25">
      <c r="K169" s="3"/>
      <c r="L169" s="9"/>
      <c r="P169"/>
      <c r="Q169"/>
      <c r="R169"/>
      <c r="S169"/>
    </row>
    <row r="170" spans="11:19" x14ac:dyDescent="0.25">
      <c r="K170" s="3"/>
      <c r="L170" s="9"/>
      <c r="P170"/>
      <c r="Q170"/>
      <c r="R170"/>
      <c r="S170"/>
    </row>
    <row r="171" spans="11:19" x14ac:dyDescent="0.25">
      <c r="K171" s="3"/>
      <c r="L171" s="9"/>
      <c r="P171"/>
      <c r="Q171"/>
      <c r="R171"/>
      <c r="S171"/>
    </row>
    <row r="172" spans="11:19" x14ac:dyDescent="0.25">
      <c r="K172" s="3"/>
      <c r="L172" s="9"/>
      <c r="P172"/>
      <c r="Q172"/>
      <c r="R172"/>
      <c r="S172"/>
    </row>
    <row r="173" spans="11:19" x14ac:dyDescent="0.25">
      <c r="K173" s="3"/>
      <c r="L173" s="9"/>
      <c r="P173"/>
      <c r="Q173"/>
      <c r="R173"/>
      <c r="S173"/>
    </row>
    <row r="174" spans="11:19" x14ac:dyDescent="0.25">
      <c r="K174" s="3"/>
      <c r="L174" s="9"/>
      <c r="P174"/>
      <c r="Q174"/>
      <c r="R174"/>
      <c r="S174"/>
    </row>
    <row r="175" spans="11:19" x14ac:dyDescent="0.25">
      <c r="K175" s="3"/>
      <c r="L175" s="9"/>
      <c r="P175"/>
      <c r="Q175"/>
      <c r="R175"/>
      <c r="S175"/>
    </row>
    <row r="176" spans="11:19" x14ac:dyDescent="0.25">
      <c r="K176" s="3"/>
      <c r="L176" s="9"/>
      <c r="P176"/>
      <c r="Q176"/>
      <c r="R176"/>
      <c r="S176"/>
    </row>
    <row r="177" spans="11:19" x14ac:dyDescent="0.25">
      <c r="K177" s="3"/>
      <c r="L177" s="9"/>
      <c r="P177"/>
      <c r="Q177"/>
      <c r="R177"/>
      <c r="S177"/>
    </row>
    <row r="178" spans="11:19" x14ac:dyDescent="0.25">
      <c r="K178" s="3"/>
      <c r="L178" s="9"/>
      <c r="P178"/>
      <c r="Q178"/>
      <c r="R178"/>
      <c r="S178"/>
    </row>
    <row r="179" spans="11:19" x14ac:dyDescent="0.25">
      <c r="K179" s="3"/>
      <c r="L179" s="9"/>
      <c r="P179"/>
      <c r="Q179"/>
      <c r="R179"/>
      <c r="S179"/>
    </row>
    <row r="180" spans="11:19" x14ac:dyDescent="0.25">
      <c r="K180" s="3"/>
      <c r="L180" s="9"/>
      <c r="P180"/>
      <c r="Q180"/>
      <c r="R180"/>
      <c r="S180"/>
    </row>
    <row r="181" spans="11:19" x14ac:dyDescent="0.25">
      <c r="K181" s="3"/>
      <c r="L181" s="9"/>
      <c r="P181"/>
      <c r="Q181"/>
      <c r="R181"/>
      <c r="S181"/>
    </row>
    <row r="182" spans="11:19" x14ac:dyDescent="0.25">
      <c r="K182" s="3"/>
      <c r="L182" s="9"/>
      <c r="P182"/>
      <c r="Q182"/>
      <c r="R182"/>
      <c r="S182"/>
    </row>
    <row r="183" spans="11:19" x14ac:dyDescent="0.25">
      <c r="K183" s="3"/>
      <c r="L183" s="9"/>
      <c r="P183"/>
      <c r="Q183"/>
      <c r="R183"/>
      <c r="S183"/>
    </row>
    <row r="184" spans="11:19" x14ac:dyDescent="0.25">
      <c r="K184" s="3"/>
      <c r="L184" s="9"/>
      <c r="P184"/>
      <c r="Q184"/>
      <c r="R184"/>
      <c r="S184"/>
    </row>
    <row r="185" spans="11:19" x14ac:dyDescent="0.25">
      <c r="K185" s="3"/>
      <c r="L185" s="9"/>
      <c r="P185"/>
      <c r="Q185"/>
      <c r="R185"/>
      <c r="S185"/>
    </row>
    <row r="186" spans="11:19" x14ac:dyDescent="0.25">
      <c r="K186" s="3"/>
      <c r="L186" s="9"/>
      <c r="P186"/>
      <c r="Q186"/>
      <c r="R186"/>
      <c r="S186"/>
    </row>
    <row r="187" spans="11:19" x14ac:dyDescent="0.25">
      <c r="K187" s="3"/>
      <c r="L187" s="9"/>
      <c r="P187"/>
      <c r="Q187"/>
      <c r="R187"/>
      <c r="S187"/>
    </row>
    <row r="188" spans="11:19" x14ac:dyDescent="0.25">
      <c r="K188" s="3"/>
      <c r="L188" s="9"/>
      <c r="P188"/>
      <c r="Q188"/>
      <c r="R188"/>
      <c r="S188"/>
    </row>
    <row r="189" spans="11:19" x14ac:dyDescent="0.25">
      <c r="K189" s="3"/>
      <c r="L189" s="9"/>
      <c r="P189"/>
      <c r="Q189"/>
      <c r="R189"/>
      <c r="S189"/>
    </row>
    <row r="190" spans="11:19" x14ac:dyDescent="0.25">
      <c r="K190" s="3"/>
      <c r="L190" s="9"/>
      <c r="P190"/>
      <c r="Q190"/>
      <c r="R190"/>
      <c r="S190"/>
    </row>
    <row r="191" spans="11:19" x14ac:dyDescent="0.25">
      <c r="K191" s="3"/>
      <c r="L191" s="9"/>
      <c r="P191"/>
      <c r="Q191"/>
      <c r="R191"/>
      <c r="S191"/>
    </row>
    <row r="192" spans="11:19" x14ac:dyDescent="0.25">
      <c r="K192" s="3"/>
      <c r="L192" s="9"/>
      <c r="P192"/>
      <c r="Q192"/>
      <c r="R192"/>
      <c r="S192"/>
    </row>
    <row r="193" spans="11:19" x14ac:dyDescent="0.25">
      <c r="K193" s="3"/>
      <c r="L193" s="9"/>
      <c r="P193"/>
      <c r="Q193"/>
      <c r="R193"/>
      <c r="S193"/>
    </row>
    <row r="194" spans="11:19" x14ac:dyDescent="0.25">
      <c r="K194" s="3"/>
      <c r="L194" s="9"/>
      <c r="P194"/>
      <c r="Q194"/>
      <c r="R194"/>
      <c r="S194"/>
    </row>
    <row r="195" spans="11:19" x14ac:dyDescent="0.25">
      <c r="K195" s="3"/>
      <c r="L195" s="9"/>
      <c r="P195"/>
      <c r="Q195"/>
      <c r="R195"/>
      <c r="S195"/>
    </row>
    <row r="196" spans="11:19" x14ac:dyDescent="0.25">
      <c r="K196" s="3"/>
      <c r="L196" s="9"/>
      <c r="P196"/>
      <c r="Q196"/>
      <c r="R196"/>
      <c r="S196"/>
    </row>
    <row r="197" spans="11:19" x14ac:dyDescent="0.25">
      <c r="K197" s="3"/>
      <c r="L197" s="9"/>
      <c r="P197"/>
      <c r="Q197"/>
      <c r="R197"/>
      <c r="S197"/>
    </row>
    <row r="198" spans="11:19" x14ac:dyDescent="0.25">
      <c r="K198" s="3"/>
      <c r="L198" s="9"/>
      <c r="P198"/>
      <c r="Q198"/>
      <c r="R198"/>
      <c r="S198"/>
    </row>
    <row r="199" spans="11:19" x14ac:dyDescent="0.25">
      <c r="K199" s="3"/>
      <c r="L199" s="9"/>
      <c r="P199"/>
      <c r="Q199"/>
      <c r="R199"/>
      <c r="S199"/>
    </row>
    <row r="200" spans="11:19" x14ac:dyDescent="0.25">
      <c r="K200" s="3"/>
      <c r="L200" s="9"/>
      <c r="P200"/>
      <c r="Q200"/>
      <c r="R200"/>
      <c r="S200"/>
    </row>
    <row r="201" spans="11:19" x14ac:dyDescent="0.25">
      <c r="K201" s="3"/>
      <c r="L201" s="9"/>
      <c r="P201"/>
      <c r="Q201"/>
      <c r="R201"/>
      <c r="S201"/>
    </row>
    <row r="202" spans="11:19" x14ac:dyDescent="0.25">
      <c r="K202" s="3"/>
      <c r="L202" s="9"/>
      <c r="P202"/>
      <c r="Q202"/>
      <c r="R202"/>
      <c r="S202"/>
    </row>
    <row r="203" spans="11:19" x14ac:dyDescent="0.25">
      <c r="K203" s="3"/>
      <c r="L203" s="9"/>
      <c r="P203"/>
      <c r="Q203"/>
      <c r="R203"/>
      <c r="S203"/>
    </row>
    <row r="204" spans="11:19" x14ac:dyDescent="0.25">
      <c r="K204" s="3"/>
      <c r="L204" s="9"/>
      <c r="P204"/>
      <c r="Q204"/>
      <c r="R204"/>
      <c r="S204"/>
    </row>
    <row r="205" spans="11:19" x14ac:dyDescent="0.25">
      <c r="K205" s="3"/>
      <c r="L205" s="9"/>
      <c r="P205"/>
      <c r="Q205"/>
      <c r="R205"/>
      <c r="S205"/>
    </row>
    <row r="206" spans="11:19" x14ac:dyDescent="0.25">
      <c r="K206" s="3"/>
      <c r="L206" s="9"/>
      <c r="P206"/>
      <c r="Q206"/>
      <c r="R206"/>
      <c r="S206"/>
    </row>
    <row r="207" spans="11:19" x14ac:dyDescent="0.25">
      <c r="K207" s="3"/>
      <c r="L207" s="9"/>
      <c r="P207"/>
      <c r="Q207"/>
      <c r="R207"/>
      <c r="S207"/>
    </row>
    <row r="208" spans="11:19" x14ac:dyDescent="0.25">
      <c r="K208" s="3"/>
      <c r="L208" s="9"/>
      <c r="P208"/>
      <c r="Q208"/>
      <c r="R208"/>
      <c r="S208"/>
    </row>
    <row r="209" spans="11:19" x14ac:dyDescent="0.25">
      <c r="K209" s="3"/>
      <c r="L209" s="9"/>
      <c r="P209"/>
      <c r="Q209"/>
      <c r="R209"/>
      <c r="S209"/>
    </row>
    <row r="210" spans="11:19" x14ac:dyDescent="0.25">
      <c r="K210" s="3"/>
      <c r="L210" s="9"/>
      <c r="P210"/>
      <c r="Q210"/>
      <c r="R210"/>
      <c r="S210"/>
    </row>
    <row r="211" spans="11:19" x14ac:dyDescent="0.25">
      <c r="K211" s="3"/>
      <c r="L211" s="9"/>
      <c r="P211"/>
      <c r="Q211"/>
      <c r="R211"/>
      <c r="S211"/>
    </row>
    <row r="212" spans="11:19" x14ac:dyDescent="0.25">
      <c r="K212" s="3"/>
      <c r="L212" s="9"/>
      <c r="P212"/>
      <c r="Q212"/>
      <c r="R212"/>
      <c r="S212"/>
    </row>
    <row r="213" spans="11:19" x14ac:dyDescent="0.25">
      <c r="K213" s="3"/>
      <c r="L213" s="9"/>
      <c r="P213"/>
      <c r="Q213"/>
      <c r="R213"/>
      <c r="S213"/>
    </row>
    <row r="214" spans="11:19" x14ac:dyDescent="0.25">
      <c r="K214" s="3"/>
      <c r="L214" s="9"/>
      <c r="P214"/>
      <c r="Q214"/>
      <c r="R214"/>
      <c r="S214"/>
    </row>
    <row r="215" spans="11:19" x14ac:dyDescent="0.25">
      <c r="K215" s="3"/>
      <c r="L215" s="9"/>
      <c r="P215"/>
      <c r="Q215"/>
      <c r="R215"/>
      <c r="S215"/>
    </row>
    <row r="216" spans="11:19" x14ac:dyDescent="0.25">
      <c r="K216" s="3"/>
      <c r="L216" s="9"/>
      <c r="P216"/>
      <c r="Q216"/>
      <c r="R216"/>
      <c r="S216"/>
    </row>
    <row r="217" spans="11:19" x14ac:dyDescent="0.25">
      <c r="K217" s="3"/>
      <c r="L217" s="9"/>
      <c r="P217"/>
      <c r="Q217"/>
      <c r="R217"/>
      <c r="S217"/>
    </row>
    <row r="218" spans="11:19" x14ac:dyDescent="0.25">
      <c r="K218" s="3"/>
      <c r="L218" s="9"/>
      <c r="P218"/>
      <c r="Q218"/>
      <c r="R218"/>
      <c r="S218"/>
    </row>
    <row r="219" spans="11:19" x14ac:dyDescent="0.25">
      <c r="K219" s="3"/>
      <c r="L219" s="9"/>
      <c r="P219"/>
      <c r="Q219"/>
      <c r="R219"/>
      <c r="S219"/>
    </row>
    <row r="220" spans="11:19" x14ac:dyDescent="0.25">
      <c r="K220" s="3"/>
      <c r="L220" s="9"/>
      <c r="P220"/>
      <c r="Q220"/>
      <c r="R220"/>
      <c r="S220"/>
    </row>
    <row r="221" spans="11:19" x14ac:dyDescent="0.25">
      <c r="K221" s="3"/>
      <c r="L221" s="9"/>
      <c r="P221"/>
      <c r="Q221"/>
      <c r="R221"/>
      <c r="S221"/>
    </row>
    <row r="222" spans="11:19" x14ac:dyDescent="0.25">
      <c r="K222" s="3"/>
      <c r="L222" s="9"/>
      <c r="P222"/>
      <c r="Q222"/>
      <c r="R222"/>
      <c r="S222"/>
    </row>
    <row r="223" spans="11:19" x14ac:dyDescent="0.25">
      <c r="K223" s="3"/>
      <c r="L223" s="9"/>
      <c r="P223"/>
      <c r="Q223"/>
      <c r="R223"/>
      <c r="S223"/>
    </row>
    <row r="224" spans="11:19" x14ac:dyDescent="0.25">
      <c r="K224" s="3"/>
      <c r="L224" s="9"/>
      <c r="P224"/>
      <c r="Q224"/>
      <c r="R224"/>
      <c r="S224"/>
    </row>
    <row r="225" spans="11:19" x14ac:dyDescent="0.25">
      <c r="K225" s="3"/>
      <c r="L225" s="9"/>
      <c r="P225"/>
      <c r="Q225"/>
      <c r="R225"/>
      <c r="S225"/>
    </row>
    <row r="226" spans="11:19" x14ac:dyDescent="0.25">
      <c r="K226" s="3"/>
      <c r="L226" s="9"/>
      <c r="P226"/>
      <c r="Q226"/>
      <c r="R226"/>
      <c r="S226"/>
    </row>
    <row r="227" spans="11:19" x14ac:dyDescent="0.25">
      <c r="K227" s="3"/>
      <c r="L227" s="9"/>
      <c r="P227"/>
      <c r="Q227"/>
      <c r="R227"/>
      <c r="S227"/>
    </row>
    <row r="228" spans="11:19" x14ac:dyDescent="0.25">
      <c r="K228" s="3"/>
      <c r="L228" s="9"/>
      <c r="P228"/>
      <c r="Q228"/>
      <c r="R228"/>
      <c r="S228"/>
    </row>
    <row r="229" spans="11:19" x14ac:dyDescent="0.25">
      <c r="K229" s="3"/>
      <c r="L229" s="9"/>
      <c r="P229"/>
      <c r="Q229"/>
      <c r="R229"/>
      <c r="S229"/>
    </row>
    <row r="230" spans="11:19" x14ac:dyDescent="0.25">
      <c r="K230" s="3"/>
      <c r="L230" s="9"/>
      <c r="P230"/>
      <c r="Q230"/>
      <c r="R230"/>
      <c r="S230"/>
    </row>
    <row r="231" spans="11:19" x14ac:dyDescent="0.25">
      <c r="K231" s="3"/>
      <c r="L231" s="9"/>
      <c r="P231"/>
      <c r="Q231"/>
      <c r="R231"/>
      <c r="S231"/>
    </row>
  </sheetData>
  <mergeCells count="48">
    <mergeCell ref="K106:M106"/>
    <mergeCell ref="H107:J107"/>
    <mergeCell ref="K107:M107"/>
    <mergeCell ref="A110:F110"/>
    <mergeCell ref="H110:M110"/>
    <mergeCell ref="A106:C106"/>
    <mergeCell ref="D106:F106"/>
    <mergeCell ref="A107:C107"/>
    <mergeCell ref="D107:F107"/>
    <mergeCell ref="H106:J106"/>
    <mergeCell ref="H62:J62"/>
    <mergeCell ref="K62:M62"/>
    <mergeCell ref="A60:C60"/>
    <mergeCell ref="D60:F60"/>
    <mergeCell ref="A61:C61"/>
    <mergeCell ref="D61:F61"/>
    <mergeCell ref="A62:C62"/>
    <mergeCell ref="D62:F62"/>
    <mergeCell ref="H60:J60"/>
    <mergeCell ref="K60:M60"/>
    <mergeCell ref="H61:J61"/>
    <mergeCell ref="K61:M61"/>
    <mergeCell ref="A59:F59"/>
    <mergeCell ref="D4:F4"/>
    <mergeCell ref="K4:M4"/>
    <mergeCell ref="R4:T4"/>
    <mergeCell ref="D5:F5"/>
    <mergeCell ref="K5:M5"/>
    <mergeCell ref="R5:T5"/>
    <mergeCell ref="A5:C5"/>
    <mergeCell ref="H5:J5"/>
    <mergeCell ref="O5:Q5"/>
    <mergeCell ref="A4:C4"/>
    <mergeCell ref="H59:M59"/>
    <mergeCell ref="V5:X5"/>
    <mergeCell ref="Y5:AA5"/>
    <mergeCell ref="D3:F3"/>
    <mergeCell ref="K3:M3"/>
    <mergeCell ref="R3:T3"/>
    <mergeCell ref="H4:J4"/>
    <mergeCell ref="O4:Q4"/>
    <mergeCell ref="V4:X4"/>
    <mergeCell ref="Y4:AA4"/>
    <mergeCell ref="A3:C3"/>
    <mergeCell ref="H3:J3"/>
    <mergeCell ref="O3:Q3"/>
    <mergeCell ref="V3:X3"/>
    <mergeCell ref="Y3:AA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2A85-6FAD-44FC-B2E9-39CDB8009B00}">
  <dimension ref="A1:S42"/>
  <sheetViews>
    <sheetView topLeftCell="I4" zoomScale="85" zoomScaleNormal="85" workbookViewId="0">
      <selection activeCell="M23" sqref="M23:O42"/>
    </sheetView>
  </sheetViews>
  <sheetFormatPr defaultRowHeight="15" x14ac:dyDescent="0.25"/>
  <cols>
    <col min="1" max="2" width="18.85546875" bestFit="1" customWidth="1"/>
    <col min="3" max="3" width="8.5703125" bestFit="1" customWidth="1"/>
    <col min="5" max="6" width="19.85546875" bestFit="1" customWidth="1"/>
    <col min="7" max="7" width="8.5703125" bestFit="1" customWidth="1"/>
    <col min="9" max="10" width="20.85546875" bestFit="1" customWidth="1"/>
    <col min="11" max="11" width="8.5703125" bestFit="1" customWidth="1"/>
    <col min="13" max="14" width="22" bestFit="1" customWidth="1"/>
    <col min="15" max="15" width="8.5703125" bestFit="1" customWidth="1"/>
    <col min="17" max="18" width="23" bestFit="1" customWidth="1"/>
    <col min="19" max="19" width="8.5703125" bestFit="1" customWidth="1"/>
  </cols>
  <sheetData>
    <row r="1" spans="1:19" x14ac:dyDescent="0.25">
      <c r="A1" s="13" t="s">
        <v>6</v>
      </c>
      <c r="B1" s="14"/>
      <c r="C1" s="15"/>
      <c r="D1" s="2"/>
      <c r="E1" s="13" t="s">
        <v>7</v>
      </c>
      <c r="F1" s="14"/>
      <c r="G1" s="15"/>
      <c r="H1" s="2"/>
      <c r="I1" s="16" t="s">
        <v>9</v>
      </c>
      <c r="J1" s="16"/>
      <c r="K1" s="16"/>
      <c r="L1" s="2"/>
      <c r="M1" s="13" t="s">
        <v>10</v>
      </c>
      <c r="N1" s="14"/>
      <c r="O1" s="15"/>
      <c r="P1" s="2"/>
      <c r="Q1" s="13" t="s">
        <v>11</v>
      </c>
      <c r="R1" s="14"/>
      <c r="S1" s="15"/>
    </row>
    <row r="2" spans="1:19" x14ac:dyDescent="0.25">
      <c r="A2" s="13" t="s">
        <v>16</v>
      </c>
      <c r="B2" s="14"/>
      <c r="C2" s="15"/>
      <c r="D2" s="1"/>
      <c r="E2" s="13" t="s">
        <v>16</v>
      </c>
      <c r="F2" s="14"/>
      <c r="G2" s="15"/>
      <c r="H2" s="1"/>
      <c r="I2" s="13" t="s">
        <v>16</v>
      </c>
      <c r="J2" s="14"/>
      <c r="K2" s="15"/>
      <c r="L2" s="1"/>
      <c r="M2" s="13" t="s">
        <v>16</v>
      </c>
      <c r="N2" s="14"/>
      <c r="O2" s="15"/>
      <c r="P2" s="1"/>
      <c r="Q2" s="13" t="s">
        <v>16</v>
      </c>
      <c r="R2" s="14"/>
      <c r="S2" s="15"/>
    </row>
    <row r="3" spans="1:19" x14ac:dyDescent="0.25">
      <c r="A3" s="13" t="s">
        <v>4</v>
      </c>
      <c r="B3" s="14"/>
      <c r="C3" s="15"/>
      <c r="E3" s="13" t="s">
        <v>4</v>
      </c>
      <c r="F3" s="14"/>
      <c r="G3" s="15"/>
      <c r="H3" s="1"/>
      <c r="I3" s="13" t="s">
        <v>4</v>
      </c>
      <c r="J3" s="14"/>
      <c r="K3" s="15"/>
      <c r="L3" s="1"/>
      <c r="M3" s="13" t="s">
        <v>4</v>
      </c>
      <c r="N3" s="14"/>
      <c r="O3" s="15"/>
      <c r="Q3" s="13" t="s">
        <v>4</v>
      </c>
      <c r="R3" s="14"/>
      <c r="S3" s="15"/>
    </row>
    <row r="4" spans="1:19" x14ac:dyDescent="0.25">
      <c r="A4" s="11" t="s">
        <v>0</v>
      </c>
      <c r="B4" s="11" t="s">
        <v>1</v>
      </c>
      <c r="C4" s="4" t="s">
        <v>2</v>
      </c>
      <c r="E4" s="11" t="s">
        <v>0</v>
      </c>
      <c r="F4" s="11" t="s">
        <v>1</v>
      </c>
      <c r="G4" s="4" t="s">
        <v>2</v>
      </c>
      <c r="H4" s="1"/>
      <c r="I4" s="11" t="s">
        <v>0</v>
      </c>
      <c r="J4" s="11" t="s">
        <v>1</v>
      </c>
      <c r="K4" s="4" t="s">
        <v>2</v>
      </c>
      <c r="L4" s="1"/>
      <c r="M4" s="11" t="s">
        <v>0</v>
      </c>
      <c r="N4" s="11" t="s">
        <v>1</v>
      </c>
      <c r="O4" s="4" t="s">
        <v>2</v>
      </c>
      <c r="Q4" s="11" t="s">
        <v>0</v>
      </c>
      <c r="R4" s="11" t="s">
        <v>1</v>
      </c>
      <c r="S4" s="4" t="s">
        <v>2</v>
      </c>
    </row>
    <row r="5" spans="1:19" x14ac:dyDescent="0.25">
      <c r="A5" s="11">
        <v>1</v>
      </c>
      <c r="B5" s="11">
        <v>1</v>
      </c>
      <c r="C5" s="4">
        <f>ABS(A5-B5)</f>
        <v>0</v>
      </c>
      <c r="E5" s="11">
        <v>0</v>
      </c>
      <c r="F5" s="11">
        <v>0</v>
      </c>
      <c r="G5" s="4">
        <f t="shared" ref="G5:G20" si="0">ABS(E5-F5)</f>
        <v>0</v>
      </c>
      <c r="H5" s="1"/>
      <c r="I5" s="11">
        <v>0</v>
      </c>
      <c r="J5" s="11">
        <v>0</v>
      </c>
      <c r="K5" s="4">
        <f>ABS(I5-J5)</f>
        <v>0</v>
      </c>
      <c r="L5" s="1"/>
      <c r="M5" s="11">
        <v>0</v>
      </c>
      <c r="N5" s="11">
        <v>0</v>
      </c>
      <c r="O5" s="4">
        <f>ABS(M5-N5)</f>
        <v>0</v>
      </c>
      <c r="Q5" s="11">
        <v>0</v>
      </c>
      <c r="R5" s="11">
        <v>0</v>
      </c>
      <c r="S5" s="4">
        <f>ABS(Q5-R5)</f>
        <v>0</v>
      </c>
    </row>
    <row r="6" spans="1:19" x14ac:dyDescent="0.25">
      <c r="A6" s="11">
        <v>1</v>
      </c>
      <c r="B6" s="11">
        <v>1</v>
      </c>
      <c r="C6" s="4">
        <f t="shared" ref="C6:C8" si="1">ABS(A6-B6)</f>
        <v>0</v>
      </c>
      <c r="E6" s="11">
        <v>2</v>
      </c>
      <c r="F6" s="11">
        <v>2</v>
      </c>
      <c r="G6" s="4">
        <f t="shared" si="0"/>
        <v>0</v>
      </c>
      <c r="H6" s="1"/>
      <c r="I6" s="11">
        <v>4</v>
      </c>
      <c r="J6" s="11">
        <v>4</v>
      </c>
      <c r="K6" s="4">
        <f t="shared" ref="K6:K20" si="2">ABS(I6-J6)</f>
        <v>0</v>
      </c>
      <c r="L6" s="1"/>
      <c r="M6" s="11">
        <v>101.62962962962899</v>
      </c>
      <c r="N6" s="11">
        <v>101.62962962962899</v>
      </c>
      <c r="O6" s="4">
        <f t="shared" ref="O6:O20" si="3">ABS(M6-N6)</f>
        <v>0</v>
      </c>
      <c r="Q6" s="11">
        <v>16</v>
      </c>
      <c r="R6" s="11">
        <v>16</v>
      </c>
      <c r="S6" s="4">
        <f t="shared" ref="S6:S20" si="4">ABS(Q6-R6)</f>
        <v>0</v>
      </c>
    </row>
    <row r="7" spans="1:19" x14ac:dyDescent="0.25">
      <c r="A7" s="11">
        <v>1</v>
      </c>
      <c r="B7" s="11">
        <v>1</v>
      </c>
      <c r="C7" s="4">
        <f t="shared" si="1"/>
        <v>0</v>
      </c>
      <c r="E7" s="11">
        <v>6</v>
      </c>
      <c r="F7" s="11">
        <v>6</v>
      </c>
      <c r="G7" s="4">
        <f t="shared" si="0"/>
        <v>0</v>
      </c>
      <c r="H7" s="1"/>
      <c r="I7" s="11">
        <v>36</v>
      </c>
      <c r="J7" s="11">
        <v>36</v>
      </c>
      <c r="K7" s="4">
        <f t="shared" si="2"/>
        <v>0</v>
      </c>
      <c r="L7" s="1"/>
      <c r="M7" s="11">
        <v>813.03703703703695</v>
      </c>
      <c r="N7" s="11">
        <v>813.03703703703695</v>
      </c>
      <c r="O7" s="4">
        <f t="shared" si="3"/>
        <v>0</v>
      </c>
      <c r="Q7" s="11">
        <v>1296</v>
      </c>
      <c r="R7" s="11">
        <v>1296</v>
      </c>
      <c r="S7" s="4">
        <f t="shared" si="4"/>
        <v>0</v>
      </c>
    </row>
    <row r="8" spans="1:19" x14ac:dyDescent="0.25">
      <c r="A8" s="11">
        <v>1</v>
      </c>
      <c r="B8" s="11">
        <v>1</v>
      </c>
      <c r="C8" s="4">
        <f t="shared" si="1"/>
        <v>0</v>
      </c>
      <c r="E8" s="11">
        <v>14</v>
      </c>
      <c r="F8" s="11">
        <v>14</v>
      </c>
      <c r="G8" s="4">
        <f t="shared" si="0"/>
        <v>0</v>
      </c>
      <c r="H8" s="1"/>
      <c r="I8" s="11">
        <v>196</v>
      </c>
      <c r="J8" s="11">
        <v>196</v>
      </c>
      <c r="K8" s="4">
        <f t="shared" si="2"/>
        <v>0</v>
      </c>
      <c r="L8" s="1"/>
      <c r="M8" s="11">
        <v>2744</v>
      </c>
      <c r="N8" s="11">
        <v>2744</v>
      </c>
      <c r="O8" s="4">
        <f t="shared" si="3"/>
        <v>0</v>
      </c>
      <c r="Q8" s="11">
        <v>38416</v>
      </c>
      <c r="R8" s="11">
        <v>38416</v>
      </c>
      <c r="S8" s="4">
        <f t="shared" si="4"/>
        <v>0</v>
      </c>
    </row>
    <row r="9" spans="1:19" x14ac:dyDescent="0.25">
      <c r="A9" s="11">
        <v>1</v>
      </c>
      <c r="B9" s="11">
        <v>1</v>
      </c>
      <c r="C9" s="4">
        <f>ABS(A9-B9)</f>
        <v>0</v>
      </c>
      <c r="E9" s="11">
        <v>2</v>
      </c>
      <c r="F9" s="11">
        <v>2</v>
      </c>
      <c r="G9" s="4">
        <f t="shared" si="0"/>
        <v>0</v>
      </c>
      <c r="H9" s="1"/>
      <c r="I9" s="11">
        <v>4</v>
      </c>
      <c r="J9" s="11">
        <v>4</v>
      </c>
      <c r="K9" s="4">
        <f t="shared" si="2"/>
        <v>0</v>
      </c>
      <c r="L9" s="1"/>
      <c r="M9" s="11">
        <v>101.62962962962899</v>
      </c>
      <c r="N9" s="11">
        <v>101.62962962962899</v>
      </c>
      <c r="O9" s="4">
        <f t="shared" si="3"/>
        <v>0</v>
      </c>
      <c r="Q9" s="11">
        <v>16</v>
      </c>
      <c r="R9" s="11">
        <v>16</v>
      </c>
      <c r="S9" s="4">
        <f t="shared" si="4"/>
        <v>0</v>
      </c>
    </row>
    <row r="10" spans="1:19" x14ac:dyDescent="0.25">
      <c r="A10" s="11">
        <v>0.999999999999999</v>
      </c>
      <c r="B10" s="11">
        <v>1</v>
      </c>
      <c r="C10" s="4">
        <f t="shared" ref="C10:C20" si="5">ABS(A10-B10)</f>
        <v>9.9920072216264089E-16</v>
      </c>
      <c r="E10" s="11">
        <v>3.9999999999999898</v>
      </c>
      <c r="F10" s="11">
        <v>4</v>
      </c>
      <c r="G10" s="4">
        <f t="shared" si="0"/>
        <v>1.021405182655144E-14</v>
      </c>
      <c r="H10" s="1"/>
      <c r="I10" s="11">
        <v>7.9999999999999698</v>
      </c>
      <c r="J10" s="11">
        <v>8</v>
      </c>
      <c r="K10" s="4">
        <f t="shared" si="2"/>
        <v>3.0198066269804258E-14</v>
      </c>
      <c r="L10" s="1"/>
      <c r="M10" s="11">
        <v>203.25925925925901</v>
      </c>
      <c r="N10" s="11">
        <v>203.25925925925901</v>
      </c>
      <c r="O10" s="4">
        <f t="shared" si="3"/>
        <v>0</v>
      </c>
      <c r="Q10" s="11">
        <v>139.93756174668599</v>
      </c>
      <c r="R10" s="11">
        <v>32</v>
      </c>
      <c r="S10" s="4">
        <f t="shared" si="4"/>
        <v>107.93756174668599</v>
      </c>
    </row>
    <row r="11" spans="1:19" x14ac:dyDescent="0.25">
      <c r="A11" s="11">
        <v>0.999999999999999</v>
      </c>
      <c r="B11" s="11">
        <v>1</v>
      </c>
      <c r="C11" s="4">
        <f t="shared" si="5"/>
        <v>9.9920072216264089E-16</v>
      </c>
      <c r="E11" s="11">
        <v>8</v>
      </c>
      <c r="F11" s="11">
        <v>8</v>
      </c>
      <c r="G11" s="4">
        <f t="shared" si="0"/>
        <v>0</v>
      </c>
      <c r="H11" s="1"/>
      <c r="I11" s="11">
        <v>39.999999999999901</v>
      </c>
      <c r="J11" s="11">
        <v>40</v>
      </c>
      <c r="K11" s="4">
        <f t="shared" si="2"/>
        <v>9.9475983006414026E-14</v>
      </c>
      <c r="L11" s="1"/>
      <c r="M11" s="11">
        <v>914.66666666666697</v>
      </c>
      <c r="N11" s="11">
        <v>914.66666666666595</v>
      </c>
      <c r="O11" s="4">
        <f t="shared" si="3"/>
        <v>1.0231815394945443E-12</v>
      </c>
      <c r="Q11" s="11">
        <v>1611.4380557202101</v>
      </c>
      <c r="R11" s="11">
        <v>1312</v>
      </c>
      <c r="S11" s="4">
        <f t="shared" si="4"/>
        <v>299.43805572021006</v>
      </c>
    </row>
    <row r="12" spans="1:19" x14ac:dyDescent="0.25">
      <c r="A12" s="11">
        <v>1</v>
      </c>
      <c r="B12" s="11">
        <v>1</v>
      </c>
      <c r="C12" s="4">
        <f t="shared" si="5"/>
        <v>0</v>
      </c>
      <c r="E12" s="11">
        <v>16</v>
      </c>
      <c r="F12" s="11">
        <v>16</v>
      </c>
      <c r="G12" s="4">
        <f t="shared" si="0"/>
        <v>0</v>
      </c>
      <c r="H12" s="1"/>
      <c r="I12" s="11">
        <v>200</v>
      </c>
      <c r="J12" s="11">
        <v>200</v>
      </c>
      <c r="K12" s="4">
        <f t="shared" si="2"/>
        <v>0</v>
      </c>
      <c r="L12" s="1"/>
      <c r="M12" s="11">
        <v>2845.62962962962</v>
      </c>
      <c r="N12" s="11">
        <v>2845.62962962962</v>
      </c>
      <c r="O12" s="4">
        <f t="shared" si="3"/>
        <v>0</v>
      </c>
      <c r="Q12" s="11">
        <v>38432</v>
      </c>
      <c r="R12" s="11">
        <v>38432</v>
      </c>
      <c r="S12" s="4">
        <f t="shared" si="4"/>
        <v>0</v>
      </c>
    </row>
    <row r="13" spans="1:19" x14ac:dyDescent="0.25">
      <c r="A13" s="11">
        <v>1</v>
      </c>
      <c r="B13" s="11">
        <v>1</v>
      </c>
      <c r="C13" s="4">
        <f t="shared" si="5"/>
        <v>0</v>
      </c>
      <c r="E13" s="11">
        <v>6</v>
      </c>
      <c r="F13" s="11">
        <v>6</v>
      </c>
      <c r="G13" s="4">
        <f t="shared" si="0"/>
        <v>0</v>
      </c>
      <c r="H13" s="1"/>
      <c r="I13" s="11">
        <v>36</v>
      </c>
      <c r="J13" s="11">
        <v>36</v>
      </c>
      <c r="K13" s="4">
        <f t="shared" si="2"/>
        <v>0</v>
      </c>
      <c r="L13" s="1"/>
      <c r="M13" s="11">
        <v>813.03703703703695</v>
      </c>
      <c r="N13" s="11">
        <v>813.03703703703695</v>
      </c>
      <c r="O13" s="4">
        <f t="shared" si="3"/>
        <v>0</v>
      </c>
      <c r="Q13" s="11">
        <v>1296</v>
      </c>
      <c r="R13" s="11">
        <v>1296</v>
      </c>
      <c r="S13" s="4">
        <f t="shared" si="4"/>
        <v>0</v>
      </c>
    </row>
    <row r="14" spans="1:19" x14ac:dyDescent="0.25">
      <c r="A14" s="11">
        <v>0.999999999999999</v>
      </c>
      <c r="B14" s="11">
        <v>1</v>
      </c>
      <c r="C14" s="4">
        <f t="shared" si="5"/>
        <v>9.9920072216264089E-16</v>
      </c>
      <c r="D14" s="9"/>
      <c r="E14" s="11">
        <v>8</v>
      </c>
      <c r="F14" s="11">
        <v>8</v>
      </c>
      <c r="G14" s="4">
        <f t="shared" si="0"/>
        <v>0</v>
      </c>
      <c r="H14" s="2"/>
      <c r="I14" s="11">
        <v>39.999999999999901</v>
      </c>
      <c r="J14" s="11">
        <v>40</v>
      </c>
      <c r="K14" s="4">
        <f t="shared" si="2"/>
        <v>9.9475983006414026E-14</v>
      </c>
      <c r="L14" s="2"/>
      <c r="M14" s="11">
        <v>914.66666666666697</v>
      </c>
      <c r="N14" s="11">
        <v>914.66666666666595</v>
      </c>
      <c r="O14" s="4">
        <f t="shared" si="3"/>
        <v>1.0231815394945443E-12</v>
      </c>
      <c r="P14" s="9"/>
      <c r="Q14" s="11">
        <v>1611.4380557202101</v>
      </c>
      <c r="R14" s="11">
        <v>1312</v>
      </c>
      <c r="S14" s="4">
        <f t="shared" si="4"/>
        <v>299.43805572021006</v>
      </c>
    </row>
    <row r="15" spans="1:19" x14ac:dyDescent="0.25">
      <c r="A15" s="11">
        <v>0.999999999999999</v>
      </c>
      <c r="B15" s="11">
        <v>1</v>
      </c>
      <c r="C15" s="4">
        <f t="shared" si="5"/>
        <v>9.9920072216264089E-16</v>
      </c>
      <c r="E15" s="11">
        <v>11.999999999999901</v>
      </c>
      <c r="F15" s="11">
        <v>12</v>
      </c>
      <c r="G15" s="4">
        <f t="shared" si="0"/>
        <v>9.9475983006414026E-14</v>
      </c>
      <c r="I15" s="11">
        <v>71.999999999999901</v>
      </c>
      <c r="J15" s="11">
        <v>72</v>
      </c>
      <c r="K15" s="4">
        <f t="shared" si="2"/>
        <v>9.9475983006414026E-14</v>
      </c>
      <c r="M15" s="11">
        <v>1626.07407407407</v>
      </c>
      <c r="N15" s="11">
        <v>1626.07407407407</v>
      </c>
      <c r="O15" s="4">
        <f t="shared" si="3"/>
        <v>0</v>
      </c>
      <c r="P15" s="9"/>
      <c r="Q15" s="11">
        <v>3126.1805967200098</v>
      </c>
      <c r="R15" s="11">
        <v>2592</v>
      </c>
      <c r="S15" s="4">
        <f t="shared" si="4"/>
        <v>534.18059672000982</v>
      </c>
    </row>
    <row r="16" spans="1:19" x14ac:dyDescent="0.25">
      <c r="A16" s="11">
        <v>1</v>
      </c>
      <c r="B16" s="11">
        <v>1</v>
      </c>
      <c r="C16" s="4">
        <f t="shared" si="5"/>
        <v>0</v>
      </c>
      <c r="E16" s="11">
        <v>20</v>
      </c>
      <c r="F16" s="11">
        <v>20</v>
      </c>
      <c r="G16" s="4">
        <f t="shared" si="0"/>
        <v>0</v>
      </c>
      <c r="I16" s="11">
        <v>232</v>
      </c>
      <c r="J16" s="11">
        <v>232</v>
      </c>
      <c r="K16" s="4">
        <f t="shared" si="2"/>
        <v>0</v>
      </c>
      <c r="M16" s="11">
        <v>3557.0370370370301</v>
      </c>
      <c r="N16" s="11">
        <v>3557.0370370370301</v>
      </c>
      <c r="O16" s="4">
        <f t="shared" si="3"/>
        <v>0</v>
      </c>
      <c r="P16" s="9"/>
      <c r="Q16" s="11">
        <v>39712</v>
      </c>
      <c r="R16" s="11">
        <v>39712</v>
      </c>
      <c r="S16" s="4">
        <f t="shared" si="4"/>
        <v>0</v>
      </c>
    </row>
    <row r="17" spans="1:19" x14ac:dyDescent="0.25">
      <c r="A17" s="11">
        <v>1</v>
      </c>
      <c r="B17" s="11">
        <v>1</v>
      </c>
      <c r="C17" s="4">
        <f t="shared" si="5"/>
        <v>0</v>
      </c>
      <c r="E17" s="11">
        <v>14</v>
      </c>
      <c r="F17" s="11">
        <v>14</v>
      </c>
      <c r="G17" s="4">
        <f t="shared" si="0"/>
        <v>0</v>
      </c>
      <c r="I17" s="11">
        <v>196</v>
      </c>
      <c r="J17" s="11">
        <v>196</v>
      </c>
      <c r="K17" s="4">
        <f t="shared" si="2"/>
        <v>0</v>
      </c>
      <c r="M17" s="11">
        <v>2744</v>
      </c>
      <c r="N17" s="11">
        <v>2744</v>
      </c>
      <c r="O17" s="4">
        <f t="shared" si="3"/>
        <v>0</v>
      </c>
      <c r="P17" s="9"/>
      <c r="Q17" s="11">
        <v>38416</v>
      </c>
      <c r="R17" s="11">
        <v>38416</v>
      </c>
      <c r="S17" s="4">
        <f t="shared" si="4"/>
        <v>0</v>
      </c>
    </row>
    <row r="18" spans="1:19" x14ac:dyDescent="0.25">
      <c r="A18" s="11">
        <v>1</v>
      </c>
      <c r="B18" s="11">
        <v>1</v>
      </c>
      <c r="C18" s="4">
        <f t="shared" si="5"/>
        <v>0</v>
      </c>
      <c r="E18" s="11">
        <v>16</v>
      </c>
      <c r="F18" s="11">
        <v>16</v>
      </c>
      <c r="G18" s="4">
        <f t="shared" si="0"/>
        <v>0</v>
      </c>
      <c r="I18" s="11">
        <v>200</v>
      </c>
      <c r="J18" s="11">
        <v>200</v>
      </c>
      <c r="K18" s="4">
        <f t="shared" si="2"/>
        <v>0</v>
      </c>
      <c r="M18" s="11">
        <v>2845.62962962962</v>
      </c>
      <c r="N18" s="11">
        <v>2845.62962962962</v>
      </c>
      <c r="O18" s="4">
        <f t="shared" si="3"/>
        <v>0</v>
      </c>
      <c r="P18" s="9"/>
      <c r="Q18" s="11">
        <v>38432</v>
      </c>
      <c r="R18" s="11">
        <v>38432</v>
      </c>
      <c r="S18" s="4">
        <f t="shared" si="4"/>
        <v>0</v>
      </c>
    </row>
    <row r="19" spans="1:19" x14ac:dyDescent="0.25">
      <c r="A19" s="11">
        <v>1</v>
      </c>
      <c r="B19" s="11">
        <v>1</v>
      </c>
      <c r="C19" s="4">
        <f t="shared" si="5"/>
        <v>0</v>
      </c>
      <c r="E19" s="11">
        <v>20</v>
      </c>
      <c r="F19" s="11">
        <v>20</v>
      </c>
      <c r="G19" s="4">
        <f t="shared" si="0"/>
        <v>0</v>
      </c>
      <c r="I19" s="11">
        <v>232</v>
      </c>
      <c r="J19" s="11">
        <v>232</v>
      </c>
      <c r="K19" s="4">
        <f t="shared" si="2"/>
        <v>0</v>
      </c>
      <c r="M19" s="11">
        <v>3557.0370370370301</v>
      </c>
      <c r="N19" s="11">
        <v>3557.0370370370301</v>
      </c>
      <c r="O19" s="4">
        <f t="shared" si="3"/>
        <v>0</v>
      </c>
      <c r="P19" s="9"/>
      <c r="Q19" s="11">
        <v>39712</v>
      </c>
      <c r="R19" s="11">
        <v>39712</v>
      </c>
      <c r="S19" s="4">
        <f t="shared" si="4"/>
        <v>0</v>
      </c>
    </row>
    <row r="20" spans="1:19" x14ac:dyDescent="0.25">
      <c r="A20" s="11">
        <v>1</v>
      </c>
      <c r="B20" s="11">
        <v>1</v>
      </c>
      <c r="C20" s="4">
        <f t="shared" si="5"/>
        <v>0</v>
      </c>
      <c r="E20" s="11">
        <v>28</v>
      </c>
      <c r="F20" s="11">
        <v>28</v>
      </c>
      <c r="G20" s="4">
        <f t="shared" si="0"/>
        <v>0</v>
      </c>
      <c r="I20" s="11">
        <v>392</v>
      </c>
      <c r="J20" s="11">
        <v>392</v>
      </c>
      <c r="K20" s="4">
        <f t="shared" si="2"/>
        <v>0</v>
      </c>
      <c r="M20" s="11">
        <v>5488</v>
      </c>
      <c r="N20" s="11">
        <v>5488</v>
      </c>
      <c r="O20" s="4">
        <f t="shared" si="3"/>
        <v>0</v>
      </c>
      <c r="P20" s="9"/>
      <c r="Q20" s="11">
        <v>76832</v>
      </c>
      <c r="R20" s="11">
        <v>76832</v>
      </c>
      <c r="S20" s="4">
        <f t="shared" si="4"/>
        <v>0</v>
      </c>
    </row>
    <row r="21" spans="1:19" x14ac:dyDescent="0.25">
      <c r="P21" s="9"/>
      <c r="Q21" s="5"/>
      <c r="R21" s="5"/>
      <c r="S21" s="3"/>
    </row>
    <row r="22" spans="1:19" x14ac:dyDescent="0.25">
      <c r="P22" s="9"/>
      <c r="Q22" s="5"/>
      <c r="R22" s="5"/>
      <c r="S22" s="3"/>
    </row>
    <row r="23" spans="1:19" x14ac:dyDescent="0.25">
      <c r="A23" s="13" t="s">
        <v>6</v>
      </c>
      <c r="B23" s="14"/>
      <c r="C23" s="15"/>
      <c r="D23" s="9"/>
      <c r="E23" s="13" t="s">
        <v>8</v>
      </c>
      <c r="F23" s="14"/>
      <c r="G23" s="15"/>
      <c r="H23" s="2"/>
      <c r="I23" s="13" t="s">
        <v>9</v>
      </c>
      <c r="J23" s="14"/>
      <c r="K23" s="15"/>
      <c r="L23" s="2"/>
      <c r="M23" s="13" t="s">
        <v>9</v>
      </c>
      <c r="N23" s="14"/>
      <c r="O23" s="15"/>
      <c r="P23" s="9"/>
      <c r="Q23" s="5"/>
      <c r="R23" s="5"/>
      <c r="S23" s="3"/>
    </row>
    <row r="24" spans="1:19" x14ac:dyDescent="0.25">
      <c r="A24" s="13" t="s">
        <v>16</v>
      </c>
      <c r="B24" s="14"/>
      <c r="C24" s="15"/>
      <c r="D24" s="9"/>
      <c r="E24" s="13" t="s">
        <v>16</v>
      </c>
      <c r="F24" s="14"/>
      <c r="G24" s="15"/>
      <c r="H24" s="2"/>
      <c r="I24" s="13" t="s">
        <v>16</v>
      </c>
      <c r="J24" s="14"/>
      <c r="K24" s="15"/>
      <c r="L24" s="2"/>
      <c r="M24" s="13" t="s">
        <v>16</v>
      </c>
      <c r="N24" s="14"/>
      <c r="O24" s="15"/>
      <c r="P24" s="9"/>
      <c r="Q24" s="5"/>
      <c r="R24" s="5"/>
      <c r="S24" s="3"/>
    </row>
    <row r="25" spans="1:19" x14ac:dyDescent="0.25">
      <c r="A25" s="13" t="s">
        <v>5</v>
      </c>
      <c r="B25" s="14"/>
      <c r="C25" s="15"/>
      <c r="D25" s="9"/>
      <c r="E25" s="13" t="s">
        <v>5</v>
      </c>
      <c r="F25" s="14"/>
      <c r="G25" s="15"/>
      <c r="H25" s="2"/>
      <c r="I25" s="13" t="s">
        <v>5</v>
      </c>
      <c r="J25" s="14"/>
      <c r="K25" s="15"/>
      <c r="L25" s="2"/>
      <c r="M25" s="13" t="s">
        <v>5</v>
      </c>
      <c r="N25" s="14"/>
      <c r="O25" s="15"/>
      <c r="P25" s="9"/>
      <c r="Q25" s="5"/>
      <c r="R25" s="5"/>
      <c r="S25" s="3"/>
    </row>
    <row r="26" spans="1:19" x14ac:dyDescent="0.25">
      <c r="A26" s="11" t="s">
        <v>0</v>
      </c>
      <c r="B26" s="11" t="s">
        <v>1</v>
      </c>
      <c r="C26" s="4" t="s">
        <v>2</v>
      </c>
      <c r="D26" s="9"/>
      <c r="E26" s="11" t="s">
        <v>0</v>
      </c>
      <c r="F26" s="11" t="s">
        <v>1</v>
      </c>
      <c r="G26" s="4" t="s">
        <v>2</v>
      </c>
      <c r="H26" s="2"/>
      <c r="I26" s="11" t="s">
        <v>0</v>
      </c>
      <c r="J26" s="11" t="s">
        <v>1</v>
      </c>
      <c r="K26" s="4" t="s">
        <v>2</v>
      </c>
      <c r="L26" s="2"/>
      <c r="M26" s="11" t="s">
        <v>0</v>
      </c>
      <c r="N26" s="11" t="s">
        <v>1</v>
      </c>
      <c r="O26" s="4" t="s">
        <v>2</v>
      </c>
      <c r="P26" s="9"/>
      <c r="Q26" s="5"/>
      <c r="R26" s="5"/>
      <c r="S26" s="3"/>
    </row>
    <row r="27" spans="1:19" x14ac:dyDescent="0.25">
      <c r="A27" s="11">
        <v>1</v>
      </c>
      <c r="B27" s="11">
        <v>1</v>
      </c>
      <c r="C27" s="4">
        <f t="shared" ref="C27:C35" si="6">ABS(A27-B27)</f>
        <v>0</v>
      </c>
      <c r="D27" s="9"/>
      <c r="E27" s="11">
        <v>0</v>
      </c>
      <c r="F27" s="11">
        <v>0</v>
      </c>
      <c r="G27" s="4">
        <f>ABS(E27-F27)</f>
        <v>0</v>
      </c>
      <c r="H27" s="2"/>
      <c r="I27" s="11">
        <v>0</v>
      </c>
      <c r="J27" s="11">
        <v>0</v>
      </c>
      <c r="K27" s="4">
        <f>ABS(I27-J27)</f>
        <v>0</v>
      </c>
      <c r="L27" s="2"/>
      <c r="M27" s="11">
        <v>0</v>
      </c>
      <c r="N27" s="11">
        <v>0</v>
      </c>
      <c r="O27" s="10">
        <f>ABS(M27-N27)</f>
        <v>0</v>
      </c>
      <c r="P27" s="9"/>
      <c r="Q27" s="5"/>
      <c r="R27" s="5"/>
      <c r="S27" s="3"/>
    </row>
    <row r="28" spans="1:19" x14ac:dyDescent="0.25">
      <c r="A28" s="11">
        <v>1</v>
      </c>
      <c r="B28" s="11">
        <v>1</v>
      </c>
      <c r="C28" s="4">
        <f t="shared" si="6"/>
        <v>0</v>
      </c>
      <c r="D28" s="9"/>
      <c r="E28" s="11">
        <v>2</v>
      </c>
      <c r="F28" s="11">
        <v>2</v>
      </c>
      <c r="G28" s="4">
        <f t="shared" ref="G28:G42" si="7">ABS(E28-F28)</f>
        <v>0</v>
      </c>
      <c r="H28" s="2"/>
      <c r="I28" s="11">
        <v>4</v>
      </c>
      <c r="J28" s="11">
        <v>4</v>
      </c>
      <c r="K28" s="4">
        <f t="shared" ref="K28:K42" si="8">ABS(I28-J28)</f>
        <v>0</v>
      </c>
      <c r="L28" s="2"/>
      <c r="M28" s="11">
        <v>4</v>
      </c>
      <c r="N28" s="11">
        <v>4</v>
      </c>
      <c r="O28" s="10">
        <f t="shared" ref="O28:O42" si="9">ABS(M28-N28)</f>
        <v>0</v>
      </c>
      <c r="P28" s="9"/>
      <c r="Q28" s="5"/>
      <c r="R28" s="5"/>
      <c r="S28" s="3"/>
    </row>
    <row r="29" spans="1:19" x14ac:dyDescent="0.25">
      <c r="A29" s="11">
        <v>1</v>
      </c>
      <c r="B29" s="11">
        <v>1</v>
      </c>
      <c r="C29" s="4">
        <f t="shared" si="6"/>
        <v>0</v>
      </c>
      <c r="D29" s="9"/>
      <c r="E29" s="11">
        <v>6</v>
      </c>
      <c r="F29" s="11">
        <v>6</v>
      </c>
      <c r="G29" s="4">
        <f t="shared" si="7"/>
        <v>0</v>
      </c>
      <c r="H29" s="2"/>
      <c r="I29" s="11">
        <v>36</v>
      </c>
      <c r="J29" s="11">
        <v>36</v>
      </c>
      <c r="K29" s="4">
        <f t="shared" si="8"/>
        <v>0</v>
      </c>
      <c r="L29" s="2"/>
      <c r="M29" s="11">
        <v>36</v>
      </c>
      <c r="N29" s="11">
        <v>36</v>
      </c>
      <c r="O29" s="10">
        <f t="shared" si="9"/>
        <v>0</v>
      </c>
      <c r="P29" s="9"/>
      <c r="Q29" s="5"/>
      <c r="R29" s="5"/>
      <c r="S29" s="3"/>
    </row>
    <row r="30" spans="1:19" x14ac:dyDescent="0.25">
      <c r="A30" s="11">
        <v>1</v>
      </c>
      <c r="B30" s="11">
        <v>1</v>
      </c>
      <c r="C30" s="4">
        <f t="shared" si="6"/>
        <v>0</v>
      </c>
      <c r="D30" s="9"/>
      <c r="E30" s="11">
        <v>14</v>
      </c>
      <c r="F30" s="11">
        <v>14</v>
      </c>
      <c r="G30" s="4">
        <f t="shared" si="7"/>
        <v>0</v>
      </c>
      <c r="H30" s="2"/>
      <c r="I30" s="11">
        <v>196</v>
      </c>
      <c r="J30" s="11">
        <v>196</v>
      </c>
      <c r="K30" s="4">
        <f t="shared" si="8"/>
        <v>0</v>
      </c>
      <c r="L30" s="2"/>
      <c r="M30" s="11">
        <v>196</v>
      </c>
      <c r="N30" s="11">
        <v>196</v>
      </c>
      <c r="O30" s="10">
        <f t="shared" si="9"/>
        <v>0</v>
      </c>
      <c r="P30" s="9"/>
      <c r="Q30" s="5"/>
      <c r="R30" s="5"/>
      <c r="S30" s="3"/>
    </row>
    <row r="31" spans="1:19" x14ac:dyDescent="0.25">
      <c r="A31" s="11">
        <v>0.999999999999999</v>
      </c>
      <c r="B31" s="11">
        <v>1</v>
      </c>
      <c r="C31" s="4">
        <f t="shared" si="6"/>
        <v>9.9920072216264089E-16</v>
      </c>
      <c r="D31" s="9"/>
      <c r="E31" s="11">
        <v>2</v>
      </c>
      <c r="F31" s="11">
        <v>2</v>
      </c>
      <c r="G31" s="4">
        <f t="shared" si="7"/>
        <v>0</v>
      </c>
      <c r="H31" s="2"/>
      <c r="I31" s="11">
        <v>4</v>
      </c>
      <c r="J31" s="11">
        <v>4</v>
      </c>
      <c r="K31" s="4">
        <f t="shared" si="8"/>
        <v>0</v>
      </c>
      <c r="L31" s="2"/>
      <c r="M31" s="11">
        <v>4</v>
      </c>
      <c r="N31" s="11">
        <v>4</v>
      </c>
      <c r="O31" s="10">
        <f t="shared" si="9"/>
        <v>0</v>
      </c>
      <c r="P31" s="9"/>
      <c r="Q31" s="5"/>
      <c r="R31" s="5"/>
      <c r="S31" s="3"/>
    </row>
    <row r="32" spans="1:19" x14ac:dyDescent="0.25">
      <c r="A32" s="11">
        <v>0.999999999999999</v>
      </c>
      <c r="B32" s="11">
        <v>1</v>
      </c>
      <c r="C32" s="4">
        <f t="shared" si="6"/>
        <v>9.9920072216264089E-16</v>
      </c>
      <c r="D32" s="9"/>
      <c r="E32" s="11">
        <v>4</v>
      </c>
      <c r="F32" s="11">
        <v>4</v>
      </c>
      <c r="G32" s="4">
        <f t="shared" si="7"/>
        <v>0</v>
      </c>
      <c r="H32" s="2"/>
      <c r="I32" s="11">
        <v>8.0664928496695794</v>
      </c>
      <c r="J32" s="11">
        <v>8</v>
      </c>
      <c r="K32" s="4">
        <f t="shared" si="8"/>
        <v>6.6492849669579357E-2</v>
      </c>
      <c r="L32" s="2"/>
      <c r="M32" s="11">
        <v>8.0013064727540701</v>
      </c>
      <c r="N32" s="11">
        <v>8</v>
      </c>
      <c r="O32" s="10">
        <f t="shared" si="9"/>
        <v>1.3064727540701426E-3</v>
      </c>
      <c r="P32" s="9"/>
      <c r="Q32" s="5"/>
      <c r="R32" s="5"/>
      <c r="S32" s="3"/>
    </row>
    <row r="33" spans="1:19" x14ac:dyDescent="0.25">
      <c r="A33" s="11">
        <v>0.999999999999999</v>
      </c>
      <c r="B33" s="11">
        <v>1</v>
      </c>
      <c r="C33" s="4">
        <f t="shared" si="6"/>
        <v>9.9920072216264089E-16</v>
      </c>
      <c r="D33" s="9"/>
      <c r="E33" s="11">
        <v>8</v>
      </c>
      <c r="F33" s="11">
        <v>8</v>
      </c>
      <c r="G33" s="4">
        <f t="shared" si="7"/>
        <v>0</v>
      </c>
      <c r="H33" s="2"/>
      <c r="I33" s="11">
        <v>41.115223132202402</v>
      </c>
      <c r="J33" s="11">
        <v>40</v>
      </c>
      <c r="K33" s="4">
        <f t="shared" si="8"/>
        <v>1.1152231322024022</v>
      </c>
      <c r="L33" s="2"/>
      <c r="M33" s="11">
        <v>40.049452553458799</v>
      </c>
      <c r="N33" s="11">
        <v>40</v>
      </c>
      <c r="O33" s="10">
        <f t="shared" si="9"/>
        <v>4.9452553458799287E-2</v>
      </c>
      <c r="P33" s="9"/>
      <c r="Q33" s="5"/>
      <c r="R33" s="5"/>
      <c r="S33" s="3"/>
    </row>
    <row r="34" spans="1:19" x14ac:dyDescent="0.25">
      <c r="A34" s="11">
        <v>1</v>
      </c>
      <c r="B34" s="11">
        <v>1</v>
      </c>
      <c r="C34" s="4">
        <f t="shared" si="6"/>
        <v>0</v>
      </c>
      <c r="D34" s="9"/>
      <c r="E34" s="11">
        <v>16</v>
      </c>
      <c r="F34" s="11">
        <v>16</v>
      </c>
      <c r="G34" s="4">
        <f t="shared" si="7"/>
        <v>0</v>
      </c>
      <c r="H34" s="2"/>
      <c r="I34" s="11">
        <v>265.115223132202</v>
      </c>
      <c r="J34" s="11">
        <v>200</v>
      </c>
      <c r="K34" s="4">
        <f t="shared" si="8"/>
        <v>65.115223132202004</v>
      </c>
      <c r="L34" s="2"/>
      <c r="M34" s="11">
        <v>216.82916816149299</v>
      </c>
      <c r="N34" s="11">
        <v>200</v>
      </c>
      <c r="O34" s="10">
        <f t="shared" si="9"/>
        <v>16.829168161492987</v>
      </c>
      <c r="P34" s="9"/>
      <c r="Q34" s="5"/>
      <c r="R34" s="5"/>
      <c r="S34" s="3"/>
    </row>
    <row r="35" spans="1:19" x14ac:dyDescent="0.25">
      <c r="A35" s="11">
        <v>0.999999999999999</v>
      </c>
      <c r="B35" s="11">
        <v>1</v>
      </c>
      <c r="C35" s="4">
        <f t="shared" si="6"/>
        <v>9.9920072216264089E-16</v>
      </c>
      <c r="D35" s="9"/>
      <c r="E35" s="11">
        <v>6</v>
      </c>
      <c r="F35" s="11">
        <v>6</v>
      </c>
      <c r="G35" s="4">
        <f t="shared" si="7"/>
        <v>0</v>
      </c>
      <c r="H35" s="2"/>
      <c r="I35" s="11">
        <v>36</v>
      </c>
      <c r="J35" s="11">
        <v>36</v>
      </c>
      <c r="K35" s="4">
        <f t="shared" si="8"/>
        <v>0</v>
      </c>
      <c r="L35" s="2"/>
      <c r="M35" s="11">
        <v>36</v>
      </c>
      <c r="N35" s="11">
        <v>36</v>
      </c>
      <c r="O35" s="10">
        <f t="shared" si="9"/>
        <v>0</v>
      </c>
      <c r="P35" s="9"/>
      <c r="Q35" s="5"/>
      <c r="R35" s="5"/>
      <c r="S35" s="3"/>
    </row>
    <row r="36" spans="1:19" x14ac:dyDescent="0.25">
      <c r="A36" s="11">
        <v>0.999999999999999</v>
      </c>
      <c r="B36" s="11">
        <v>1</v>
      </c>
      <c r="C36" s="4">
        <f t="shared" ref="C36:C42" si="10">ABS(A36-B36)</f>
        <v>9.9920072216264089E-16</v>
      </c>
      <c r="D36" s="9"/>
      <c r="E36" s="11">
        <v>8</v>
      </c>
      <c r="F36" s="11">
        <v>8</v>
      </c>
      <c r="G36" s="4">
        <f t="shared" si="7"/>
        <v>0</v>
      </c>
      <c r="H36" s="2"/>
      <c r="I36" s="11">
        <v>40.081648161849998</v>
      </c>
      <c r="J36" s="11">
        <v>40</v>
      </c>
      <c r="K36" s="4">
        <f t="shared" si="8"/>
        <v>8.1648161849997791E-2</v>
      </c>
      <c r="L36" s="2"/>
      <c r="M36" s="11">
        <v>40.001992759398902</v>
      </c>
      <c r="N36" s="11">
        <v>40</v>
      </c>
      <c r="O36" s="10">
        <f t="shared" si="9"/>
        <v>1.9927593989024217E-3</v>
      </c>
      <c r="P36" s="9"/>
      <c r="Q36" s="5"/>
      <c r="R36" s="5"/>
      <c r="S36" s="3"/>
    </row>
    <row r="37" spans="1:19" x14ac:dyDescent="0.25">
      <c r="A37" s="11">
        <v>0.999999999999999</v>
      </c>
      <c r="B37" s="11">
        <v>1</v>
      </c>
      <c r="C37" s="4">
        <f t="shared" si="10"/>
        <v>9.9920072216264089E-16</v>
      </c>
      <c r="D37" s="9"/>
      <c r="E37" s="11">
        <v>11.999999999999901</v>
      </c>
      <c r="F37" s="11">
        <v>12</v>
      </c>
      <c r="G37" s="4">
        <f t="shared" si="7"/>
        <v>9.9475983006414026E-14</v>
      </c>
      <c r="H37" s="2"/>
      <c r="I37" s="11">
        <v>73.252712124303798</v>
      </c>
      <c r="J37" s="11">
        <v>72</v>
      </c>
      <c r="K37" s="4">
        <f t="shared" si="8"/>
        <v>1.2527121243037982</v>
      </c>
      <c r="L37" s="2"/>
      <c r="M37" s="11">
        <v>72.063409128749896</v>
      </c>
      <c r="N37" s="11">
        <v>72</v>
      </c>
      <c r="O37" s="10">
        <f t="shared" si="9"/>
        <v>6.3409128749896126E-2</v>
      </c>
      <c r="P37" s="9"/>
      <c r="Q37" s="5"/>
      <c r="R37" s="5"/>
      <c r="S37" s="3"/>
    </row>
    <row r="38" spans="1:19" x14ac:dyDescent="0.25">
      <c r="A38" s="11">
        <v>1</v>
      </c>
      <c r="B38" s="11">
        <v>1</v>
      </c>
      <c r="C38" s="4">
        <f t="shared" si="10"/>
        <v>0</v>
      </c>
      <c r="D38" s="9"/>
      <c r="E38" s="11">
        <v>20</v>
      </c>
      <c r="F38" s="11">
        <v>20</v>
      </c>
      <c r="G38" s="4">
        <f t="shared" si="7"/>
        <v>0</v>
      </c>
      <c r="H38" s="2"/>
      <c r="I38" s="11">
        <v>297.252712124303</v>
      </c>
      <c r="J38" s="11">
        <v>232</v>
      </c>
      <c r="K38" s="4">
        <f t="shared" si="8"/>
        <v>65.252712124303002</v>
      </c>
      <c r="L38" s="2"/>
      <c r="M38" s="11">
        <v>248.93923453234399</v>
      </c>
      <c r="N38" s="11">
        <v>232</v>
      </c>
      <c r="O38" s="10">
        <f t="shared" si="9"/>
        <v>16.939234532343988</v>
      </c>
      <c r="P38" s="9"/>
      <c r="Q38" s="5"/>
      <c r="R38" s="5"/>
      <c r="S38" s="3"/>
    </row>
    <row r="39" spans="1:19" x14ac:dyDescent="0.25">
      <c r="A39" s="11">
        <v>1</v>
      </c>
      <c r="B39" s="11">
        <v>1</v>
      </c>
      <c r="C39" s="4">
        <f t="shared" si="10"/>
        <v>0</v>
      </c>
      <c r="D39" s="9"/>
      <c r="E39" s="11">
        <v>14</v>
      </c>
      <c r="F39" s="11">
        <v>14</v>
      </c>
      <c r="G39" s="4">
        <f t="shared" si="7"/>
        <v>0</v>
      </c>
      <c r="H39" s="2"/>
      <c r="I39" s="11">
        <v>196</v>
      </c>
      <c r="J39" s="11">
        <v>196</v>
      </c>
      <c r="K39" s="4">
        <f t="shared" si="8"/>
        <v>0</v>
      </c>
      <c r="L39" s="2"/>
      <c r="M39" s="11">
        <v>196</v>
      </c>
      <c r="N39" s="11">
        <v>196</v>
      </c>
      <c r="O39" s="10">
        <f t="shared" si="9"/>
        <v>0</v>
      </c>
      <c r="P39" s="9"/>
      <c r="Q39" s="5"/>
      <c r="R39" s="5"/>
      <c r="S39" s="3"/>
    </row>
    <row r="40" spans="1:19" x14ac:dyDescent="0.25">
      <c r="A40" s="11">
        <v>1</v>
      </c>
      <c r="B40" s="11">
        <v>1</v>
      </c>
      <c r="C40" s="4">
        <f t="shared" si="10"/>
        <v>0</v>
      </c>
      <c r="D40" s="9"/>
      <c r="E40" s="11">
        <v>16</v>
      </c>
      <c r="F40" s="11">
        <v>16</v>
      </c>
      <c r="G40" s="4">
        <f t="shared" si="7"/>
        <v>0</v>
      </c>
      <c r="H40" s="2"/>
      <c r="I40" s="11">
        <v>200</v>
      </c>
      <c r="J40" s="11">
        <v>200</v>
      </c>
      <c r="K40" s="4">
        <f t="shared" si="8"/>
        <v>0</v>
      </c>
      <c r="L40" s="2"/>
      <c r="M40" s="11">
        <v>200</v>
      </c>
      <c r="N40" s="11">
        <v>200</v>
      </c>
      <c r="O40" s="10">
        <f t="shared" si="9"/>
        <v>0</v>
      </c>
      <c r="P40" s="9"/>
      <c r="Q40" s="5"/>
      <c r="R40" s="5"/>
      <c r="S40" s="3"/>
    </row>
    <row r="41" spans="1:19" x14ac:dyDescent="0.25">
      <c r="A41" s="11">
        <v>1</v>
      </c>
      <c r="B41" s="11">
        <v>1</v>
      </c>
      <c r="C41" s="4">
        <f t="shared" si="10"/>
        <v>0</v>
      </c>
      <c r="D41" s="9"/>
      <c r="E41" s="11">
        <v>20</v>
      </c>
      <c r="F41" s="11">
        <v>20</v>
      </c>
      <c r="G41" s="4">
        <f t="shared" si="7"/>
        <v>0</v>
      </c>
      <c r="H41" s="2"/>
      <c r="I41" s="11">
        <v>232</v>
      </c>
      <c r="J41" s="11">
        <v>232</v>
      </c>
      <c r="K41" s="4">
        <f t="shared" si="8"/>
        <v>0</v>
      </c>
      <c r="L41" s="2"/>
      <c r="M41" s="11">
        <v>232</v>
      </c>
      <c r="N41" s="11">
        <v>232</v>
      </c>
      <c r="O41" s="10">
        <f t="shared" si="9"/>
        <v>0</v>
      </c>
      <c r="P41" s="9"/>
      <c r="Q41" s="5"/>
      <c r="R41" s="5"/>
      <c r="S41" s="3"/>
    </row>
    <row r="42" spans="1:19" x14ac:dyDescent="0.25">
      <c r="A42" s="11">
        <v>1</v>
      </c>
      <c r="B42" s="11">
        <v>1</v>
      </c>
      <c r="C42" s="4">
        <f t="shared" si="10"/>
        <v>0</v>
      </c>
      <c r="D42" s="9"/>
      <c r="E42" s="11">
        <v>28</v>
      </c>
      <c r="F42" s="11">
        <v>28</v>
      </c>
      <c r="G42" s="4">
        <f t="shared" si="7"/>
        <v>0</v>
      </c>
      <c r="H42" s="2"/>
      <c r="I42" s="11">
        <v>392</v>
      </c>
      <c r="J42" s="11">
        <v>392</v>
      </c>
      <c r="K42" s="4">
        <f t="shared" si="8"/>
        <v>0</v>
      </c>
      <c r="L42" s="2"/>
      <c r="M42" s="11">
        <v>392</v>
      </c>
      <c r="N42" s="11">
        <v>392</v>
      </c>
      <c r="O42" s="10">
        <f t="shared" si="9"/>
        <v>0</v>
      </c>
      <c r="P42" s="9"/>
      <c r="Q42" s="5"/>
      <c r="R42" s="5"/>
      <c r="S42" s="3"/>
    </row>
  </sheetData>
  <mergeCells count="27">
    <mergeCell ref="Q1:S1"/>
    <mergeCell ref="A2:C2"/>
    <mergeCell ref="E2:G2"/>
    <mergeCell ref="I2:K2"/>
    <mergeCell ref="M2:O2"/>
    <mergeCell ref="Q2:S2"/>
    <mergeCell ref="A23:C23"/>
    <mergeCell ref="E23:G23"/>
    <mergeCell ref="I23:K23"/>
    <mergeCell ref="M23:O23"/>
    <mergeCell ref="A1:C1"/>
    <mergeCell ref="E1:G1"/>
    <mergeCell ref="I1:K1"/>
    <mergeCell ref="M1:O1"/>
    <mergeCell ref="A3:C3"/>
    <mergeCell ref="E3:G3"/>
    <mergeCell ref="I3:K3"/>
    <mergeCell ref="M3:O3"/>
    <mergeCell ref="Q3:S3"/>
    <mergeCell ref="A24:C24"/>
    <mergeCell ref="E24:G24"/>
    <mergeCell ref="I24:K24"/>
    <mergeCell ref="M24:O24"/>
    <mergeCell ref="A25:C25"/>
    <mergeCell ref="E25:G25"/>
    <mergeCell ref="I25:K25"/>
    <mergeCell ref="M25:O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Квадрат</vt:lpstr>
      <vt:lpstr>Т</vt:lpstr>
      <vt:lpstr>Прямоугольник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Кудюков</dc:creator>
  <cp:lastModifiedBy>Артём Рубцов</cp:lastModifiedBy>
  <dcterms:created xsi:type="dcterms:W3CDTF">2026-03-06T12:31:26Z</dcterms:created>
  <dcterms:modified xsi:type="dcterms:W3CDTF">2026-03-08T10:28:27Z</dcterms:modified>
</cp:coreProperties>
</file>